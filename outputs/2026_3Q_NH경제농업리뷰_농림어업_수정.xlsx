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7.xml" ContentType="application/vnd.openxmlformats-officedocument.drawingml.chartshape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8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1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howard\Desktop\2026 경제&amp;농업리뷰\2026년 3분기 NH 경제 농업 리뷰(26년2분기)\"/>
    </mc:Choice>
  </mc:AlternateContent>
  <xr:revisionPtr revIDLastSave="0" documentId="8_{04302DCD-6E76-42DD-BF93-7B3EA60A5E80}" xr6:coauthVersionLast="36" xr6:coauthVersionMax="36" xr10:uidLastSave="{00000000-0000-0000-0000-000000000000}"/>
  <bookViews>
    <workbookView xWindow="0" yWindow="0" windowWidth="2430" windowHeight="450" activeTab="1" xr2:uid="{00000000-000D-0000-FFFF-FFFF00000000}"/>
  </bookViews>
  <sheets>
    <sheet name="1. 경제성장" sheetId="582" r:id="rId1"/>
    <sheet name="1.농림어업" sheetId="893" r:id="rId2"/>
    <sheet name="2. 수출" sheetId="882" r:id="rId3"/>
    <sheet name="2.수출 품목별" sheetId="896" r:id="rId4"/>
    <sheet name="2. 수출나라별" sheetId="897" r:id="rId5"/>
    <sheet name="3. 소비자심리지수" sheetId="883" r:id="rId6"/>
    <sheet name="3.소매판매액월별" sheetId="895" r:id="rId7"/>
    <sheet name="3. 소매판매액 증감률" sheetId="884" r:id="rId8"/>
    <sheet name="4. 물가지수" sheetId="885" r:id="rId9"/>
    <sheet name="5. 유가" sheetId="890" r:id="rId10"/>
    <sheet name="5. 농가판매 및 구입가격지수" sheetId="891" r:id="rId11"/>
    <sheet name="6. 고용" sheetId="887" r:id="rId12"/>
    <sheet name="6. 농업노임" sheetId="892" r:id="rId13"/>
    <sheet name="7. 세계식량자가격" sheetId="888" r:id="rId14"/>
    <sheet name="7. 수출입물가지수" sheetId="889" r:id="rId15"/>
    <sheet name="Sheet1" sheetId="894" r:id="rId16"/>
  </sheets>
  <definedNames>
    <definedName name="SpreadsheetBuilder_2" localSheetId="8" hidden="1">#REF!</definedName>
    <definedName name="SpreadsheetBuilder_2" localSheetId="11" hidden="1">#REF!</definedName>
    <definedName name="SpreadsheetBuilder_2" hidden="1">#REF!</definedName>
    <definedName name="SpreadsheetBuilder_3" localSheetId="8" hidden="1">#REF!</definedName>
    <definedName name="SpreadsheetBuilder_3" localSheetId="11" hidden="1">#REF!</definedName>
    <definedName name="SpreadsheetBuilder_3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4" i="889" l="1"/>
  <c r="AG13" i="889"/>
  <c r="AG12" i="889"/>
  <c r="AG11" i="889"/>
  <c r="Y11" i="889"/>
  <c r="Z11" i="889"/>
  <c r="AA11" i="889"/>
  <c r="AB11" i="889"/>
  <c r="AC11" i="889"/>
  <c r="AD11" i="889"/>
  <c r="AE11" i="889"/>
  <c r="AF11" i="889"/>
  <c r="Y12" i="889"/>
  <c r="Z12" i="889"/>
  <c r="AA12" i="889"/>
  <c r="AB12" i="889"/>
  <c r="AC12" i="889"/>
  <c r="AD12" i="889"/>
  <c r="AE12" i="889"/>
  <c r="AF12" i="889"/>
  <c r="Y13" i="889"/>
  <c r="Z13" i="889"/>
  <c r="AA13" i="889"/>
  <c r="AB13" i="889"/>
  <c r="AC13" i="889"/>
  <c r="AD13" i="889"/>
  <c r="AE13" i="889"/>
  <c r="AF13" i="889"/>
  <c r="Y14" i="889"/>
  <c r="Z14" i="889"/>
  <c r="AA14" i="889"/>
  <c r="AB14" i="889"/>
  <c r="AC14" i="889"/>
  <c r="AD14" i="889"/>
  <c r="AE14" i="889"/>
  <c r="AG14" i="889"/>
  <c r="AE26" i="889"/>
  <c r="AE25" i="889"/>
  <c r="AE24" i="889"/>
  <c r="AE23" i="889"/>
  <c r="AG24" i="889"/>
  <c r="AG23" i="889"/>
  <c r="Y23" i="889"/>
  <c r="Z23" i="889"/>
  <c r="AA23" i="889"/>
  <c r="AB23" i="889"/>
  <c r="AC23" i="889"/>
  <c r="AD23" i="889"/>
  <c r="AF23" i="889"/>
  <c r="Y24" i="889"/>
  <c r="Z24" i="889"/>
  <c r="AA24" i="889"/>
  <c r="AB24" i="889"/>
  <c r="AC24" i="889"/>
  <c r="AD24" i="889"/>
  <c r="AF24" i="889"/>
  <c r="Y25" i="889"/>
  <c r="Z25" i="889"/>
  <c r="AA25" i="889"/>
  <c r="AB25" i="889"/>
  <c r="AC25" i="889"/>
  <c r="AD25" i="889"/>
  <c r="AF25" i="889"/>
  <c r="AG25" i="889"/>
  <c r="Y26" i="889"/>
  <c r="Z26" i="889"/>
  <c r="AA26" i="889"/>
  <c r="AB26" i="889"/>
  <c r="AC26" i="889"/>
  <c r="AD26" i="889"/>
  <c r="AF26" i="889"/>
  <c r="AG26" i="889"/>
  <c r="P13" i="888"/>
  <c r="Q13" i="888"/>
  <c r="R13" i="888"/>
  <c r="S13" i="888"/>
  <c r="T13" i="888"/>
  <c r="U13" i="888"/>
  <c r="V13" i="888"/>
  <c r="W13" i="888"/>
  <c r="X13" i="888"/>
  <c r="N32" i="895" l="1"/>
  <c r="O32" i="895"/>
  <c r="P32" i="895"/>
  <c r="Q32" i="895"/>
  <c r="R32" i="895"/>
  <c r="S32" i="895"/>
  <c r="T32" i="895"/>
  <c r="U32" i="895"/>
  <c r="V32" i="895"/>
  <c r="N33" i="895"/>
  <c r="O33" i="895"/>
  <c r="P33" i="895"/>
  <c r="Q33" i="895"/>
  <c r="R33" i="895"/>
  <c r="S33" i="895"/>
  <c r="T33" i="895"/>
  <c r="U33" i="895"/>
  <c r="V33" i="895"/>
  <c r="M32" i="895"/>
  <c r="E32" i="895"/>
  <c r="F32" i="895"/>
  <c r="G32" i="895"/>
  <c r="H32" i="895"/>
  <c r="I32" i="895"/>
  <c r="J32" i="895"/>
  <c r="K32" i="895"/>
  <c r="L32" i="895"/>
  <c r="E33" i="895"/>
  <c r="F33" i="895"/>
  <c r="G33" i="895"/>
  <c r="H33" i="895"/>
  <c r="I33" i="895"/>
  <c r="J33" i="895"/>
  <c r="K33" i="895"/>
  <c r="L33" i="895"/>
  <c r="M33" i="895"/>
  <c r="F10" i="895"/>
  <c r="AY3" i="893" l="1"/>
  <c r="AZ3" i="893"/>
  <c r="BA3" i="893"/>
  <c r="BA6" i="893"/>
  <c r="AN6" i="893" l="1"/>
  <c r="AR6" i="893"/>
  <c r="AS6" i="893"/>
  <c r="AT6" i="893"/>
  <c r="AU6" i="893"/>
  <c r="AV6" i="893"/>
  <c r="AW6" i="893"/>
  <c r="AX6" i="893"/>
  <c r="AY6" i="893"/>
  <c r="AZ6" i="893"/>
  <c r="AQ6" i="893"/>
  <c r="AP6" i="893"/>
  <c r="AO6" i="893"/>
  <c r="W53" i="885" l="1"/>
  <c r="X53" i="885"/>
  <c r="V53" i="885"/>
  <c r="L56" i="885"/>
  <c r="W13" i="889"/>
  <c r="AJ35" i="885"/>
  <c r="E39" i="889"/>
  <c r="G11" i="892"/>
  <c r="O39" i="885"/>
  <c r="M9" i="895"/>
  <c r="M10" i="895"/>
  <c r="E9" i="895"/>
  <c r="E10" i="895"/>
  <c r="AA6" i="897"/>
  <c r="M6" i="897"/>
  <c r="AB6" i="897" s="1"/>
  <c r="U13" i="882"/>
  <c r="H18" i="882"/>
  <c r="Q15" i="885"/>
  <c r="O15" i="885"/>
  <c r="L72" i="885"/>
  <c r="X9" i="885"/>
  <c r="O11" i="895"/>
  <c r="AA24" i="897"/>
  <c r="AA22" i="897"/>
  <c r="AB22" i="897" s="1"/>
  <c r="AA20" i="897"/>
  <c r="AA18" i="897"/>
  <c r="AA16" i="897"/>
  <c r="AA14" i="897"/>
  <c r="AB14" i="897" s="1"/>
  <c r="AA12" i="897"/>
  <c r="AA10" i="897"/>
  <c r="AA8" i="897"/>
  <c r="AB8" i="897" s="1"/>
  <c r="AB10" i="897"/>
  <c r="AB12" i="897"/>
  <c r="AB16" i="897"/>
  <c r="AB18" i="897"/>
  <c r="AB20" i="897"/>
  <c r="AB24" i="897"/>
  <c r="M24" i="897"/>
  <c r="M22" i="897"/>
  <c r="M20" i="897"/>
  <c r="M18" i="897"/>
  <c r="M16" i="897"/>
  <c r="M14" i="897"/>
  <c r="M12" i="897"/>
  <c r="M10" i="897"/>
  <c r="M8" i="897"/>
  <c r="AA8" i="896"/>
  <c r="AA11" i="896"/>
  <c r="AA14" i="896"/>
  <c r="AA17" i="896"/>
  <c r="AA20" i="896"/>
  <c r="AA23" i="896"/>
  <c r="AA26" i="896"/>
  <c r="AA29" i="896"/>
  <c r="AA32" i="896"/>
  <c r="AA35" i="896"/>
  <c r="AA38" i="896"/>
  <c r="AA41" i="896"/>
  <c r="AA44" i="896"/>
  <c r="AA47" i="896"/>
  <c r="AA5" i="896"/>
  <c r="M47" i="896"/>
  <c r="M44" i="896"/>
  <c r="M41" i="896"/>
  <c r="M38" i="896"/>
  <c r="M35" i="896"/>
  <c r="M32" i="896"/>
  <c r="M29" i="896"/>
  <c r="M26" i="896"/>
  <c r="M23" i="896"/>
  <c r="M20" i="896"/>
  <c r="M17" i="896"/>
  <c r="M14" i="896"/>
  <c r="M11" i="896"/>
  <c r="M8" i="896"/>
  <c r="M5" i="896"/>
  <c r="Z47" i="896"/>
  <c r="Z44" i="896"/>
  <c r="Z41" i="896"/>
  <c r="Z38" i="896"/>
  <c r="Z35" i="896"/>
  <c r="Z32" i="896"/>
  <c r="Z29" i="896"/>
  <c r="Z26" i="896"/>
  <c r="Z23" i="896"/>
  <c r="Z20" i="896"/>
  <c r="Z17" i="896"/>
  <c r="Z14" i="896"/>
  <c r="Z11" i="896"/>
  <c r="Z8" i="896"/>
  <c r="Z5" i="896"/>
  <c r="H19" i="882"/>
  <c r="M19" i="885"/>
  <c r="L19" i="885"/>
  <c r="G28" i="885"/>
  <c r="O19" i="885"/>
  <c r="G19" i="885"/>
  <c r="E72" i="885"/>
  <c r="F72" i="885"/>
  <c r="G72" i="885"/>
  <c r="H72" i="885"/>
  <c r="I72" i="885"/>
  <c r="J72" i="885"/>
  <c r="K72" i="885"/>
  <c r="D72" i="885"/>
  <c r="H17" i="885"/>
  <c r="G17" i="885"/>
  <c r="G16" i="885"/>
  <c r="G15" i="885"/>
  <c r="M16" i="885"/>
  <c r="H15" i="885"/>
  <c r="I15" i="885"/>
  <c r="J15" i="885"/>
  <c r="K15" i="885"/>
  <c r="L15" i="885"/>
  <c r="M15" i="885"/>
  <c r="N15" i="885"/>
  <c r="H16" i="885"/>
  <c r="I16" i="885"/>
  <c r="J16" i="885"/>
  <c r="K16" i="885"/>
  <c r="L16" i="885"/>
  <c r="N16" i="885"/>
  <c r="O16" i="885"/>
  <c r="I17" i="885"/>
  <c r="J17" i="885"/>
  <c r="K17" i="885"/>
  <c r="L17" i="885"/>
  <c r="M17" i="885"/>
  <c r="N17" i="885"/>
  <c r="O17" i="885"/>
  <c r="H18" i="885"/>
  <c r="I18" i="885"/>
  <c r="J18" i="885"/>
  <c r="K18" i="885"/>
  <c r="L18" i="885"/>
  <c r="M18" i="885"/>
  <c r="N18" i="885"/>
  <c r="O18" i="885"/>
  <c r="G18" i="885"/>
  <c r="J55" i="885"/>
  <c r="H19" i="885"/>
  <c r="I19" i="885"/>
  <c r="J19" i="885"/>
  <c r="K19" i="885"/>
  <c r="N19" i="885"/>
  <c r="F92" i="884"/>
  <c r="I97" i="884"/>
  <c r="F97" i="884"/>
  <c r="I98" i="884"/>
  <c r="I95" i="884"/>
  <c r="I94" i="884"/>
  <c r="F98" i="884"/>
  <c r="F95" i="884"/>
  <c r="F94" i="884"/>
  <c r="F96" i="884" s="1"/>
  <c r="I93" i="884"/>
  <c r="F93" i="884"/>
  <c r="I92" i="884"/>
  <c r="F9" i="895"/>
  <c r="G9" i="895"/>
  <c r="H9" i="895"/>
  <c r="I9" i="895"/>
  <c r="J9" i="895"/>
  <c r="K9" i="895"/>
  <c r="L9" i="895"/>
  <c r="G10" i="895"/>
  <c r="H10" i="895"/>
  <c r="I10" i="895"/>
  <c r="J10" i="895"/>
  <c r="K10" i="895"/>
  <c r="L10" i="895"/>
  <c r="W70" i="884"/>
  <c r="W71" i="884"/>
  <c r="W72" i="884"/>
  <c r="W73" i="884"/>
  <c r="W69" i="884"/>
  <c r="H35" i="884"/>
  <c r="H34" i="884"/>
  <c r="J98" i="884"/>
  <c r="W56" i="884"/>
  <c r="W57" i="884"/>
  <c r="W58" i="884"/>
  <c r="W55" i="884"/>
  <c r="V60" i="884"/>
  <c r="V61" i="884"/>
  <c r="V62" i="884"/>
  <c r="V63" i="884"/>
  <c r="E35" i="884"/>
  <c r="F35" i="884"/>
  <c r="G35" i="884"/>
  <c r="D35" i="884"/>
  <c r="G34" i="884"/>
  <c r="F34" i="884"/>
  <c r="E34" i="884"/>
  <c r="D34" i="884"/>
  <c r="M11" i="884"/>
  <c r="G15" i="884"/>
  <c r="N10" i="884"/>
  <c r="H14" i="884" s="1"/>
  <c r="N11" i="884"/>
  <c r="H15" i="884" s="1"/>
  <c r="E13" i="892"/>
  <c r="G19" i="882"/>
  <c r="BG10" i="882"/>
  <c r="AV10" i="882"/>
  <c r="AW10" i="882"/>
  <c r="AX10" i="882"/>
  <c r="AY10" i="882"/>
  <c r="AZ10" i="882"/>
  <c r="BA10" i="882"/>
  <c r="BB10" i="882"/>
  <c r="BC10" i="882"/>
  <c r="BD10" i="882"/>
  <c r="BE10" i="882"/>
  <c r="BF10" i="882"/>
  <c r="AS10" i="882"/>
  <c r="AT10" i="882"/>
  <c r="AU10" i="882"/>
  <c r="G18" i="882"/>
  <c r="F18" i="882"/>
  <c r="E18" i="882"/>
  <c r="D18" i="882"/>
  <c r="C18" i="882"/>
  <c r="U14" i="882"/>
  <c r="L55" i="885"/>
  <c r="J58" i="885"/>
  <c r="K58" i="885"/>
  <c r="L58" i="885"/>
  <c r="J57" i="885"/>
  <c r="K57" i="885"/>
  <c r="L57" i="885"/>
  <c r="J56" i="885"/>
  <c r="K56" i="885"/>
  <c r="K55" i="885"/>
  <c r="J54" i="885"/>
  <c r="K54" i="885"/>
  <c r="L54" i="885"/>
  <c r="F10" i="892"/>
  <c r="E10" i="892"/>
  <c r="D10" i="892"/>
  <c r="F9" i="892"/>
  <c r="E9" i="892"/>
  <c r="D9" i="892"/>
  <c r="U14" i="892"/>
  <c r="G27" i="887"/>
  <c r="G28" i="887"/>
  <c r="G25" i="887"/>
  <c r="G24" i="887"/>
  <c r="G21" i="887"/>
  <c r="H43" i="882"/>
  <c r="J97" i="884" l="1"/>
  <c r="F100" i="884"/>
  <c r="S38" i="882"/>
  <c r="AX3" i="893"/>
  <c r="AW3" i="893"/>
  <c r="X13" i="889"/>
  <c r="V13" i="889"/>
  <c r="E41" i="889"/>
  <c r="O8" i="888"/>
  <c r="N8" i="888"/>
  <c r="M8" i="888"/>
  <c r="M46" i="888"/>
  <c r="M45" i="888"/>
  <c r="M43" i="888"/>
  <c r="AI9" i="885"/>
  <c r="N13" i="885" s="1"/>
  <c r="AH9" i="885"/>
  <c r="M13" i="885" s="1"/>
  <c r="AJ9" i="885"/>
  <c r="O13" i="885" s="1"/>
  <c r="AH10" i="885"/>
  <c r="M14" i="885" s="1"/>
  <c r="AI10" i="885"/>
  <c r="N14" i="885" s="1"/>
  <c r="AJ10" i="885"/>
  <c r="O14" i="885" s="1"/>
  <c r="AH11" i="885"/>
  <c r="AI11" i="885"/>
  <c r="AJ11" i="885"/>
  <c r="J67" i="885"/>
  <c r="K67" i="885"/>
  <c r="L67" i="885"/>
  <c r="J68" i="885"/>
  <c r="K68" i="885"/>
  <c r="L68" i="885"/>
  <c r="I67" i="885"/>
  <c r="AH35" i="885"/>
  <c r="M39" i="885" s="1"/>
  <c r="AI35" i="885"/>
  <c r="N39" i="885" s="1"/>
  <c r="AH36" i="885"/>
  <c r="M41" i="885" s="1"/>
  <c r="AI36" i="885"/>
  <c r="N41" i="885" s="1"/>
  <c r="AJ36" i="885"/>
  <c r="O41" i="885" s="1"/>
  <c r="V23" i="889"/>
  <c r="H39" i="889" s="1"/>
  <c r="I40" i="889"/>
  <c r="J40" i="889"/>
  <c r="H41" i="889"/>
  <c r="H40" i="889"/>
  <c r="F39" i="889"/>
  <c r="G39" i="889"/>
  <c r="F41" i="889"/>
  <c r="G41" i="889"/>
  <c r="F42" i="889"/>
  <c r="G42" i="889"/>
  <c r="E42" i="889"/>
  <c r="D31" i="889"/>
  <c r="E31" i="889"/>
  <c r="F31" i="889"/>
  <c r="G31" i="889"/>
  <c r="H31" i="889"/>
  <c r="I31" i="889"/>
  <c r="J31" i="889"/>
  <c r="C31" i="889"/>
  <c r="D30" i="889"/>
  <c r="E30" i="889"/>
  <c r="F30" i="889"/>
  <c r="G30" i="889"/>
  <c r="H30" i="889"/>
  <c r="C30" i="889"/>
  <c r="W23" i="889"/>
  <c r="I39" i="889" s="1"/>
  <c r="X23" i="889"/>
  <c r="J39" i="889" s="1"/>
  <c r="V24" i="889"/>
  <c r="W24" i="889"/>
  <c r="X24" i="889"/>
  <c r="V25" i="889"/>
  <c r="W25" i="889"/>
  <c r="I41" i="889" s="1"/>
  <c r="X25" i="889"/>
  <c r="J41" i="889" s="1"/>
  <c r="V26" i="889"/>
  <c r="H42" i="889" s="1"/>
  <c r="W26" i="889"/>
  <c r="I42" i="889" s="1"/>
  <c r="X26" i="889"/>
  <c r="J42" i="889" s="1"/>
  <c r="X11" i="889"/>
  <c r="V11" i="889"/>
  <c r="W11" i="889"/>
  <c r="V12" i="889"/>
  <c r="E40" i="889" s="1"/>
  <c r="W12" i="889"/>
  <c r="F40" i="889" s="1"/>
  <c r="X12" i="889"/>
  <c r="G40" i="889" s="1"/>
  <c r="V14" i="889"/>
  <c r="W14" i="889"/>
  <c r="X14" i="889"/>
  <c r="M13" i="888"/>
  <c r="N13" i="888"/>
  <c r="O13" i="888"/>
  <c r="O43" i="888"/>
  <c r="N43" i="888"/>
  <c r="P43" i="888"/>
  <c r="Q43" i="888"/>
  <c r="R43" i="888"/>
  <c r="U24" i="889"/>
  <c r="U23" i="889"/>
  <c r="O19" i="882" l="1"/>
  <c r="R19" i="882"/>
  <c r="U19" i="882"/>
  <c r="X19" i="882"/>
  <c r="M10" i="884"/>
  <c r="G14" i="884" s="1"/>
  <c r="H11" i="889" l="1"/>
  <c r="AV3" i="893"/>
  <c r="AU3" i="893"/>
  <c r="AT3" i="893"/>
  <c r="AS3" i="893"/>
  <c r="AR3" i="893"/>
  <c r="AQ3" i="893"/>
  <c r="AP3" i="893"/>
  <c r="AO3" i="893"/>
  <c r="AN3" i="893"/>
  <c r="AM3" i="893"/>
  <c r="AL3" i="893"/>
  <c r="AK3" i="893"/>
  <c r="AJ3" i="893"/>
  <c r="AI3" i="893"/>
  <c r="AH3" i="893"/>
  <c r="AG3" i="893"/>
  <c r="AE3" i="893"/>
  <c r="AD3" i="893"/>
  <c r="AC3" i="893"/>
  <c r="AB3" i="893"/>
  <c r="AA3" i="893"/>
  <c r="Z3" i="893"/>
  <c r="Y3" i="893"/>
  <c r="X3" i="893"/>
  <c r="V3" i="893"/>
  <c r="U3" i="893"/>
  <c r="T3" i="893"/>
  <c r="S3" i="893"/>
  <c r="R3" i="893"/>
  <c r="Q3" i="893"/>
  <c r="P3" i="893"/>
  <c r="O3" i="893"/>
  <c r="N3" i="893"/>
  <c r="M3" i="893"/>
  <c r="L3" i="893"/>
  <c r="K3" i="893"/>
  <c r="AG11" i="885" l="1"/>
  <c r="G93" i="884" l="1"/>
  <c r="H93" i="884"/>
  <c r="U86" i="884"/>
  <c r="T14" i="892"/>
  <c r="Q14" i="892"/>
  <c r="R14" i="892"/>
  <c r="S14" i="892"/>
  <c r="P14" i="892"/>
  <c r="I96" i="884" l="1"/>
  <c r="I100" i="884" s="1"/>
  <c r="W66" i="884"/>
  <c r="W67" i="884"/>
  <c r="W65" i="884"/>
  <c r="U60" i="884"/>
  <c r="U61" i="884"/>
  <c r="U62" i="884"/>
  <c r="U63" i="884"/>
  <c r="P60" i="884"/>
  <c r="L11" i="884"/>
  <c r="F15" i="884" s="1"/>
  <c r="J11" i="884"/>
  <c r="D15" i="884" s="1"/>
  <c r="K11" i="884"/>
  <c r="E15" i="884" s="1"/>
  <c r="I11" i="884"/>
  <c r="L10" i="884"/>
  <c r="F14" i="884" s="1"/>
  <c r="J10" i="884"/>
  <c r="D14" i="884" s="1"/>
  <c r="K10" i="884"/>
  <c r="E14" i="884" s="1"/>
  <c r="I10" i="884"/>
  <c r="H67" i="885" l="1"/>
  <c r="I68" i="885"/>
  <c r="G67" i="885"/>
  <c r="G68" i="885"/>
  <c r="H68" i="885"/>
  <c r="AE36" i="885"/>
  <c r="AF36" i="885"/>
  <c r="AG36" i="885"/>
  <c r="AD36" i="885"/>
  <c r="AG35" i="885"/>
  <c r="U11" i="889" l="1"/>
  <c r="G22" i="887" l="1"/>
  <c r="G23" i="887"/>
  <c r="G26" i="887"/>
  <c r="P23" i="889" l="1"/>
  <c r="S23" i="889"/>
  <c r="T23" i="889"/>
  <c r="S24" i="889"/>
  <c r="T24" i="889"/>
  <c r="S25" i="889"/>
  <c r="T25" i="889"/>
  <c r="U25" i="889"/>
  <c r="S26" i="889"/>
  <c r="T26" i="889"/>
  <c r="U26" i="889"/>
  <c r="S11" i="889"/>
  <c r="T11" i="889"/>
  <c r="S12" i="889"/>
  <c r="T12" i="889"/>
  <c r="U12" i="889"/>
  <c r="S13" i="889"/>
  <c r="T13" i="889"/>
  <c r="U13" i="889"/>
  <c r="S14" i="889"/>
  <c r="T14" i="889"/>
  <c r="U14" i="889"/>
  <c r="R11" i="889"/>
  <c r="AG13" i="885" l="1"/>
  <c r="I55" i="885"/>
  <c r="G54" i="885"/>
  <c r="H54" i="885"/>
  <c r="I54" i="885"/>
  <c r="G55" i="885"/>
  <c r="H55" i="885"/>
  <c r="G56" i="885"/>
  <c r="H56" i="885"/>
  <c r="I56" i="885"/>
  <c r="G57" i="885"/>
  <c r="H57" i="885"/>
  <c r="I57" i="885"/>
  <c r="G58" i="885"/>
  <c r="H58" i="885"/>
  <c r="I58" i="885"/>
  <c r="F54" i="885"/>
  <c r="D68" i="885"/>
  <c r="AE11" i="885" l="1"/>
  <c r="AE9" i="885"/>
  <c r="AF9" i="885"/>
  <c r="AG9" i="885"/>
  <c r="AE10" i="885"/>
  <c r="AF10" i="885"/>
  <c r="AG10" i="885"/>
  <c r="AF11" i="885"/>
  <c r="AE35" i="885"/>
  <c r="AF35" i="885"/>
  <c r="AD35" i="885"/>
  <c r="E43" i="882" l="1"/>
  <c r="F43" i="882"/>
  <c r="G43" i="882"/>
  <c r="D43" i="882"/>
  <c r="R38" i="882"/>
  <c r="Q38" i="882"/>
  <c r="P38" i="882"/>
  <c r="O38" i="882"/>
  <c r="N38" i="882"/>
  <c r="M38" i="882"/>
  <c r="L38" i="882"/>
  <c r="K38" i="882"/>
  <c r="J38" i="882"/>
  <c r="I38" i="882"/>
  <c r="H38" i="882"/>
  <c r="G38" i="882"/>
  <c r="F38" i="882"/>
  <c r="E38" i="882"/>
  <c r="D38" i="882"/>
  <c r="C38" i="882"/>
  <c r="AR10" i="882"/>
  <c r="AQ10" i="882"/>
  <c r="AP10" i="882"/>
  <c r="S14" i="882"/>
  <c r="S13" i="882"/>
  <c r="R14" i="882"/>
  <c r="R13" i="882"/>
  <c r="Q14" i="882"/>
  <c r="Q13" i="882"/>
  <c r="P14" i="882"/>
  <c r="P13" i="882"/>
  <c r="O14" i="882"/>
  <c r="O13" i="882"/>
  <c r="N14" i="882"/>
  <c r="N13" i="882"/>
  <c r="M14" i="882"/>
  <c r="M13" i="882"/>
  <c r="L14" i="882"/>
  <c r="L13" i="882"/>
  <c r="K14" i="882"/>
  <c r="K13" i="882"/>
  <c r="J14" i="882"/>
  <c r="J13" i="882"/>
  <c r="I14" i="882"/>
  <c r="I13" i="882"/>
  <c r="H14" i="882"/>
  <c r="H13" i="882"/>
  <c r="G14" i="882"/>
  <c r="G13" i="882"/>
  <c r="F14" i="882"/>
  <c r="F13" i="882"/>
  <c r="E14" i="882"/>
  <c r="E13" i="882"/>
  <c r="D14" i="882"/>
  <c r="D13" i="882"/>
  <c r="C14" i="882"/>
  <c r="C13" i="882"/>
  <c r="D19" i="882" l="1"/>
  <c r="E19" i="882"/>
  <c r="F19" i="882"/>
  <c r="D54" i="885" l="1"/>
  <c r="P8" i="892" l="1"/>
  <c r="Q8" i="892"/>
  <c r="R8" i="892"/>
  <c r="S8" i="892"/>
  <c r="G10" i="892"/>
  <c r="G9" i="892"/>
  <c r="J95" i="884" l="1"/>
  <c r="J93" i="884"/>
  <c r="J92" i="884"/>
  <c r="J94" i="884"/>
  <c r="Q60" i="884"/>
  <c r="R60" i="884"/>
  <c r="S60" i="884"/>
  <c r="T60" i="884"/>
  <c r="Q61" i="884"/>
  <c r="R61" i="884"/>
  <c r="S61" i="884"/>
  <c r="T61" i="884"/>
  <c r="Q62" i="884"/>
  <c r="R62" i="884"/>
  <c r="S62" i="884"/>
  <c r="T62" i="884"/>
  <c r="Q63" i="884"/>
  <c r="R63" i="884"/>
  <c r="S63" i="884"/>
  <c r="T63" i="884"/>
  <c r="P61" i="884"/>
  <c r="P62" i="884"/>
  <c r="P63" i="884"/>
  <c r="J96" i="884" l="1"/>
  <c r="AD11" i="885"/>
  <c r="AF43" i="885"/>
  <c r="R24" i="889" l="1"/>
  <c r="R12" i="889"/>
  <c r="R26" i="889" l="1"/>
  <c r="R14" i="889"/>
  <c r="R13" i="889"/>
  <c r="R23" i="889"/>
  <c r="R25" i="889"/>
  <c r="Q23" i="889"/>
  <c r="Q25" i="889" l="1"/>
  <c r="Q26" i="889"/>
  <c r="Q24" i="889"/>
  <c r="P24" i="889"/>
  <c r="Q12" i="889"/>
  <c r="Q11" i="889"/>
  <c r="P14" i="889"/>
  <c r="P13" i="889"/>
  <c r="P11" i="889"/>
  <c r="E23" i="889"/>
  <c r="F23" i="889"/>
  <c r="G23" i="889"/>
  <c r="H23" i="889"/>
  <c r="I23" i="889"/>
  <c r="J23" i="889"/>
  <c r="K23" i="889"/>
  <c r="L23" i="889"/>
  <c r="M23" i="889"/>
  <c r="N23" i="889"/>
  <c r="O23" i="889"/>
  <c r="E24" i="889"/>
  <c r="F24" i="889"/>
  <c r="G24" i="889"/>
  <c r="H24" i="889"/>
  <c r="I24" i="889"/>
  <c r="J24" i="889"/>
  <c r="K24" i="889"/>
  <c r="L24" i="889"/>
  <c r="M24" i="889"/>
  <c r="N24" i="889"/>
  <c r="O24" i="889"/>
  <c r="E25" i="889"/>
  <c r="F25" i="889"/>
  <c r="G25" i="889"/>
  <c r="H25" i="889"/>
  <c r="I25" i="889"/>
  <c r="J25" i="889"/>
  <c r="K25" i="889"/>
  <c r="L25" i="889"/>
  <c r="M25" i="889"/>
  <c r="N25" i="889"/>
  <c r="O25" i="889"/>
  <c r="P25" i="889"/>
  <c r="E26" i="889"/>
  <c r="F26" i="889"/>
  <c r="G26" i="889"/>
  <c r="H26" i="889"/>
  <c r="I26" i="889"/>
  <c r="J26" i="889"/>
  <c r="K26" i="889"/>
  <c r="L26" i="889"/>
  <c r="M26" i="889"/>
  <c r="N26" i="889"/>
  <c r="O26" i="889"/>
  <c r="P26" i="889"/>
  <c r="D24" i="889"/>
  <c r="D25" i="889"/>
  <c r="D26" i="889"/>
  <c r="D23" i="889"/>
  <c r="E11" i="889"/>
  <c r="F11" i="889"/>
  <c r="G11" i="889"/>
  <c r="I11" i="889"/>
  <c r="J11" i="889"/>
  <c r="K11" i="889"/>
  <c r="L11" i="889"/>
  <c r="M11" i="889"/>
  <c r="N11" i="889"/>
  <c r="O11" i="889"/>
  <c r="E12" i="889"/>
  <c r="F12" i="889"/>
  <c r="G12" i="889"/>
  <c r="H12" i="889"/>
  <c r="I12" i="889"/>
  <c r="J12" i="889"/>
  <c r="K12" i="889"/>
  <c r="L12" i="889"/>
  <c r="M12" i="889"/>
  <c r="N12" i="889"/>
  <c r="O12" i="889"/>
  <c r="P12" i="889"/>
  <c r="E13" i="889"/>
  <c r="F13" i="889"/>
  <c r="G13" i="889"/>
  <c r="H13" i="889"/>
  <c r="I13" i="889"/>
  <c r="J13" i="889"/>
  <c r="K13" i="889"/>
  <c r="L13" i="889"/>
  <c r="M13" i="889"/>
  <c r="N13" i="889"/>
  <c r="O13" i="889"/>
  <c r="Q13" i="889"/>
  <c r="E14" i="889"/>
  <c r="F14" i="889"/>
  <c r="G14" i="889"/>
  <c r="H14" i="889"/>
  <c r="I14" i="889"/>
  <c r="J14" i="889"/>
  <c r="K14" i="889"/>
  <c r="L14" i="889"/>
  <c r="M14" i="889"/>
  <c r="N14" i="889"/>
  <c r="O14" i="889"/>
  <c r="Q14" i="889"/>
  <c r="D12" i="889"/>
  <c r="D13" i="889"/>
  <c r="D14" i="889"/>
  <c r="D11" i="889"/>
  <c r="Q9" i="885" l="1"/>
  <c r="R9" i="885"/>
  <c r="S9" i="885"/>
  <c r="T9" i="885"/>
  <c r="U9" i="885"/>
  <c r="V9" i="885"/>
  <c r="W9" i="885"/>
  <c r="Y9" i="885"/>
  <c r="Z9" i="885"/>
  <c r="AA9" i="885"/>
  <c r="AB9" i="885"/>
  <c r="AC9" i="885"/>
  <c r="AD9" i="885"/>
  <c r="Q10" i="885"/>
  <c r="R10" i="885"/>
  <c r="S10" i="885"/>
  <c r="T10" i="885"/>
  <c r="U10" i="885"/>
  <c r="V10" i="885"/>
  <c r="W10" i="885"/>
  <c r="X10" i="885"/>
  <c r="Y10" i="885"/>
  <c r="Z10" i="885"/>
  <c r="AA10" i="885"/>
  <c r="AB10" i="885"/>
  <c r="AC10" i="885"/>
  <c r="AD10" i="885"/>
  <c r="Q11" i="885"/>
  <c r="R11" i="885"/>
  <c r="S11" i="885"/>
  <c r="T11" i="885"/>
  <c r="U11" i="885"/>
  <c r="V11" i="885"/>
  <c r="W11" i="885"/>
  <c r="X11" i="885"/>
  <c r="Y11" i="885"/>
  <c r="Z11" i="885"/>
  <c r="AA11" i="885"/>
  <c r="AB11" i="885"/>
  <c r="AC11" i="885"/>
  <c r="P10" i="885"/>
  <c r="P11" i="885"/>
  <c r="K13" i="888" l="1"/>
  <c r="L13" i="888"/>
  <c r="J13" i="888"/>
  <c r="G20" i="887" l="1"/>
  <c r="E67" i="885" l="1"/>
  <c r="F67" i="885"/>
  <c r="E68" i="885"/>
  <c r="F68" i="885"/>
  <c r="D67" i="885"/>
  <c r="S35" i="885"/>
  <c r="T35" i="885"/>
  <c r="U35" i="885"/>
  <c r="V35" i="885"/>
  <c r="W35" i="885"/>
  <c r="X35" i="885"/>
  <c r="Y35" i="885"/>
  <c r="Z35" i="885"/>
  <c r="AA35" i="885"/>
  <c r="AB35" i="885"/>
  <c r="AC35" i="885"/>
  <c r="S36" i="885"/>
  <c r="T36" i="885"/>
  <c r="U36" i="885"/>
  <c r="V36" i="885"/>
  <c r="W36" i="885"/>
  <c r="X36" i="885"/>
  <c r="Y36" i="885"/>
  <c r="Z36" i="885"/>
  <c r="AA36" i="885"/>
  <c r="AB36" i="885"/>
  <c r="AC36" i="885"/>
  <c r="R36" i="885"/>
  <c r="R35" i="885"/>
  <c r="E54" i="885"/>
  <c r="E55" i="885"/>
  <c r="F55" i="885"/>
  <c r="E56" i="885"/>
  <c r="F56" i="885"/>
  <c r="E57" i="885"/>
  <c r="F57" i="885"/>
  <c r="E58" i="885"/>
  <c r="F58" i="885"/>
  <c r="D55" i="885"/>
  <c r="D56" i="885"/>
  <c r="D57" i="885"/>
  <c r="D58" i="885"/>
  <c r="P9" i="885"/>
</calcChain>
</file>

<file path=xl/sharedStrings.xml><?xml version="1.0" encoding="utf-8"?>
<sst xmlns="http://schemas.openxmlformats.org/spreadsheetml/2006/main" count="1400" uniqueCount="659">
  <si>
    <t>단위</t>
    <phoneticPr fontId="2" type="noConversion"/>
  </si>
  <si>
    <t>%</t>
    <phoneticPr fontId="2" type="noConversion"/>
  </si>
  <si>
    <t>2024.1/4</t>
    <phoneticPr fontId="2" type="noConversion"/>
  </si>
  <si>
    <t>분기별 실질 경제성장률 추이</t>
    <phoneticPr fontId="2" type="noConversion"/>
  </si>
  <si>
    <t xml:space="preserve">자료 : 한국은행 경제전망('25.2)/경제통계시스템/ </t>
    <phoneticPr fontId="2" type="noConversion"/>
  </si>
  <si>
    <t>2024.2/4</t>
    <phoneticPr fontId="2" type="noConversion"/>
  </si>
  <si>
    <t>2024.3/4</t>
    <phoneticPr fontId="2" type="noConversion"/>
  </si>
  <si>
    <t>2024.4/4</t>
    <phoneticPr fontId="2" type="noConversion"/>
  </si>
  <si>
    <t>2025.1/4</t>
    <phoneticPr fontId="2" type="noConversion"/>
  </si>
  <si>
    <t>실질, 원계열, 전년동기</t>
    <phoneticPr fontId="2" type="noConversion"/>
  </si>
  <si>
    <t>경제성장률 전망경로</t>
    <phoneticPr fontId="9" type="noConversion"/>
  </si>
  <si>
    <t>2023/Q2</t>
  </si>
  <si>
    <t>2023/Q3</t>
  </si>
  <si>
    <t>2023/Q4</t>
  </si>
  <si>
    <t>2024/Q1</t>
  </si>
  <si>
    <t>2024/Q2</t>
  </si>
  <si>
    <t>2024/Q3</t>
  </si>
  <si>
    <t>2024/Q4</t>
  </si>
  <si>
    <t>농림어업</t>
  </si>
  <si>
    <t>건설업</t>
  </si>
  <si>
    <t>구 분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</si>
  <si>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</si>
  <si>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</si>
  <si>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</si>
  <si>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</si>
  <si>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</si>
  <si>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</si>
  <si>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</si>
  <si>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</si>
  <si>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</si>
  <si>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</si>
  <si>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</si>
  <si>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증감률</t>
  </si>
  <si>
    <t>수 출</t>
  </si>
  <si>
    <t>수 입</t>
  </si>
  <si>
    <t>무역수지</t>
  </si>
  <si>
    <t>수출액</t>
    <phoneticPr fontId="2" type="noConversion"/>
  </si>
  <si>
    <t>증감률</t>
    <phoneticPr fontId="2" type="noConversion"/>
  </si>
  <si>
    <t>(단위, 전년동기대비, 억달러,%)</t>
    <phoneticPr fontId="2" type="noConversion"/>
  </si>
  <si>
    <r>
      <t>12</t>
    </r>
    <r>
      <rPr>
        <sz val="11"/>
        <color rgb="FF000000"/>
        <rFont val="휴먼명조"/>
        <charset val="129"/>
      </rPr>
      <t>월</t>
    </r>
  </si>
  <si>
    <r>
      <t>'25.1</t>
    </r>
    <r>
      <rPr>
        <sz val="11"/>
        <color rgb="FF000000"/>
        <rFont val="휴먼명조"/>
        <charset val="129"/>
      </rPr>
      <t>월</t>
    </r>
  </si>
  <si>
    <r>
      <t>2</t>
    </r>
    <r>
      <rPr>
        <sz val="11"/>
        <color rgb="FF000000"/>
        <rFont val="휴먼명조"/>
        <charset val="129"/>
      </rPr>
      <t>월</t>
    </r>
  </si>
  <si>
    <r>
      <t>3</t>
    </r>
    <r>
      <rPr>
        <sz val="11"/>
        <color rgb="FF000000"/>
        <rFont val="휴먼명조"/>
        <charset val="129"/>
      </rPr>
      <t>월</t>
    </r>
  </si>
  <si>
    <t>소비자심리지수(CCSI)</t>
    <phoneticPr fontId="2" type="noConversion"/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</si>
  <si>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</si>
  <si>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</si>
  <si>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</si>
  <si>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</si>
  <si>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</si>
  <si>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</si>
  <si>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</si>
  <si>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</si>
  <si>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</si>
  <si>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</si>
  <si>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</si>
  <si>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</si>
  <si>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</si>
  <si>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</si>
  <si>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</si>
  <si>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소비자심리지수 / 향후경기전망지수</t>
    <phoneticPr fontId="9" type="noConversion"/>
  </si>
  <si>
    <t>자료 : 한국은행 경제통계시스템 6.2.1.</t>
    <phoneticPr fontId="2" type="noConversion"/>
  </si>
  <si>
    <t>2월</t>
    <phoneticPr fontId="2" type="noConversion"/>
  </si>
  <si>
    <t>3월</t>
    <phoneticPr fontId="2" type="noConversion"/>
  </si>
  <si>
    <t>3월</t>
    <phoneticPr fontId="2" type="noConversion"/>
  </si>
  <si>
    <t>03~'24 장기평균치를 기준값 100</t>
    <phoneticPr fontId="2" type="noConversion"/>
  </si>
  <si>
    <t>소비자물가지수</t>
    <phoneticPr fontId="2" type="noConversion"/>
  </si>
  <si>
    <t>23.1월</t>
    <phoneticPr fontId="2" type="noConversion"/>
  </si>
  <si>
    <t>24.1월</t>
    <phoneticPr fontId="2" type="noConversion"/>
  </si>
  <si>
    <t>25.1월</t>
    <phoneticPr fontId="2" type="noConversion"/>
  </si>
  <si>
    <t>총지수</t>
    <phoneticPr fontId="2" type="noConversion"/>
  </si>
  <si>
    <t>식료품 및 에너지제외 지수</t>
    <phoneticPr fontId="2" type="noConversion"/>
  </si>
  <si>
    <t>자료 : 한국은행 경제통계시스템 4.2.2.</t>
    <phoneticPr fontId="2" type="noConversion"/>
  </si>
  <si>
    <t>생산자물가지수</t>
    <phoneticPr fontId="2" type="noConversion"/>
  </si>
  <si>
    <t>농축수산물</t>
    <phoneticPr fontId="2" type="noConversion"/>
  </si>
  <si>
    <t>사료</t>
    <phoneticPr fontId="2" type="noConversion"/>
  </si>
  <si>
    <t>쌀</t>
    <phoneticPr fontId="2" type="noConversion"/>
  </si>
  <si>
    <t>채소</t>
    <phoneticPr fontId="2" type="noConversion"/>
  </si>
  <si>
    <t>과일</t>
    <phoneticPr fontId="2" type="noConversion"/>
  </si>
  <si>
    <t>국산소고기</t>
    <phoneticPr fontId="2" type="noConversion"/>
  </si>
  <si>
    <t>달걀</t>
    <phoneticPr fontId="2" type="noConversion"/>
  </si>
  <si>
    <t>소비자물가지수</t>
    <phoneticPr fontId="2" type="noConversion"/>
  </si>
  <si>
    <t>배합사료(양우용)</t>
    <phoneticPr fontId="2" type="noConversion"/>
  </si>
  <si>
    <t>배합사료(양돈용)</t>
    <phoneticPr fontId="2" type="noConversion"/>
  </si>
  <si>
    <t>원유_두바이</t>
    <phoneticPr fontId="2" type="noConversion"/>
  </si>
  <si>
    <t>2025/Q1</t>
  </si>
  <si>
    <t>국제유가</t>
    <phoneticPr fontId="2" type="noConversion"/>
  </si>
  <si>
    <t>휘발유</t>
  </si>
  <si>
    <t>1분기</t>
    <phoneticPr fontId="2" type="noConversion"/>
  </si>
  <si>
    <t>2분기</t>
    <phoneticPr fontId="2" type="noConversion"/>
  </si>
  <si>
    <t>3분기</t>
    <phoneticPr fontId="2" type="noConversion"/>
  </si>
  <si>
    <t>4분기</t>
    <phoneticPr fontId="2" type="noConversion"/>
  </si>
  <si>
    <t>(단위 : 만 명)</t>
    <phoneticPr fontId="2" type="noConversion"/>
  </si>
  <si>
    <t>&lt;분기별 취업자 수&gt;</t>
    <phoneticPr fontId="2" type="noConversion"/>
  </si>
  <si>
    <t>전년동기 比</t>
  </si>
  <si>
    <t>전체 취업자수</t>
  </si>
  <si>
    <t>산</t>
  </si>
  <si>
    <t>업</t>
  </si>
  <si>
    <t>별</t>
  </si>
  <si>
    <t>제조업</t>
  </si>
  <si>
    <t>보건사회복지</t>
  </si>
  <si>
    <t>&lt;분기별 농림어업 취업자 수&gt;</t>
    <phoneticPr fontId="2" type="noConversion"/>
  </si>
  <si>
    <t>원/달러 환율 추이</t>
    <phoneticPr fontId="2" type="noConversion"/>
  </si>
  <si>
    <t>세계식량가격지수</t>
    <phoneticPr fontId="2" type="noConversion"/>
  </si>
  <si>
    <r>
      <t>11</t>
    </r>
    <r>
      <rPr>
        <sz val="11"/>
        <color rgb="FF000000"/>
        <rFont val="돋움"/>
        <family val="3"/>
        <charset val="129"/>
      </rPr>
      <t>월</t>
    </r>
    <phoneticPr fontId="2" type="noConversion"/>
  </si>
  <si>
    <r>
      <t>'25.1</t>
    </r>
    <r>
      <rPr>
        <sz val="11"/>
        <color rgb="FF000000"/>
        <rFont val="휴먼명조"/>
        <charset val="129"/>
      </rPr>
      <t>월</t>
    </r>
    <phoneticPr fontId="2" type="noConversion"/>
  </si>
  <si>
    <t>곡물</t>
  </si>
  <si>
    <t>유지류</t>
  </si>
  <si>
    <t>육류</t>
  </si>
  <si>
    <t>유제품</t>
  </si>
  <si>
    <t>설탕</t>
  </si>
  <si>
    <t>12월</t>
    <phoneticPr fontId="2" type="noConversion"/>
  </si>
  <si>
    <t>2월</t>
    <phoneticPr fontId="2" type="noConversion"/>
  </si>
  <si>
    <t>3월</t>
    <phoneticPr fontId="2" type="noConversion"/>
  </si>
  <si>
    <t>'25.1월</t>
    <phoneticPr fontId="2" type="noConversion"/>
  </si>
  <si>
    <t>경유</t>
    <phoneticPr fontId="2" type="noConversion"/>
  </si>
  <si>
    <t>등유</t>
    <phoneticPr fontId="2" type="noConversion"/>
  </si>
  <si>
    <t>국내유가</t>
    <phoneticPr fontId="2" type="noConversion"/>
  </si>
  <si>
    <t>면세유</t>
    <phoneticPr fontId="2" type="noConversion"/>
  </si>
  <si>
    <t>금융보험업</t>
    <phoneticPr fontId="2" type="noConversion"/>
  </si>
  <si>
    <t>세계 식량가격 / 환율</t>
    <phoneticPr fontId="9" type="noConversion"/>
  </si>
  <si>
    <t>수출물가</t>
  </si>
  <si>
    <t>수입물가</t>
  </si>
  <si>
    <t>총 지수</t>
  </si>
  <si>
    <t>농림수산품</t>
  </si>
  <si>
    <t>공산품</t>
  </si>
  <si>
    <t>총지수</t>
  </si>
  <si>
    <t xml:space="preserve">  농림수산품</t>
  </si>
  <si>
    <t xml:space="preserve">      농산물</t>
  </si>
  <si>
    <t xml:space="preserve">  공산품</t>
  </si>
  <si>
    <t>2023/12</t>
  </si>
  <si>
    <t>수출물가지수</t>
    <phoneticPr fontId="2" type="noConversion"/>
  </si>
  <si>
    <t>수입물가지수</t>
    <phoneticPr fontId="2" type="noConversion"/>
  </si>
  <si>
    <t>수출물가지수</t>
    <phoneticPr fontId="2" type="noConversion"/>
  </si>
  <si>
    <t>수입물가지수</t>
    <phoneticPr fontId="2" type="noConversion"/>
  </si>
  <si>
    <t xml:space="preserve">수출실적 추이 / 분기 수출액 및 무역수지 </t>
    <phoneticPr fontId="9" type="noConversion"/>
  </si>
  <si>
    <t xml:space="preserve">국제유가 추이 / 국내유가 추이 / 농업용 면세유 </t>
    <phoneticPr fontId="9" type="noConversion"/>
  </si>
  <si>
    <t>농업노임 및 외국인 계절근로 입국자 수</t>
    <phoneticPr fontId="9" type="noConversion"/>
  </si>
  <si>
    <r>
      <t>농업노임</t>
    </r>
    <r>
      <rPr>
        <sz val="10"/>
        <color rgb="FF000000"/>
        <rFont val="KoPub돋움체 Medium"/>
        <family val="3"/>
        <charset val="129"/>
      </rPr>
      <t>(남)</t>
    </r>
  </si>
  <si>
    <r>
      <t>농업노임</t>
    </r>
    <r>
      <rPr>
        <sz val="10"/>
        <color rgb="FF000000"/>
        <rFont val="KoPub돋움체 Medium"/>
        <family val="3"/>
        <charset val="129"/>
      </rPr>
      <t>(여)</t>
    </r>
  </si>
  <si>
    <t>입국 외국인</t>
  </si>
  <si>
    <t>계절근로자수</t>
  </si>
  <si>
    <t>자료 : 한국은행_수출입물가지수 및 무역수지(매월중순) / 경제통계시스템</t>
    <phoneticPr fontId="2" type="noConversion"/>
  </si>
  <si>
    <t>2025.2/4</t>
    <phoneticPr fontId="2" type="noConversion"/>
  </si>
  <si>
    <t>2025.3/4</t>
    <phoneticPr fontId="2" type="noConversion"/>
  </si>
  <si>
    <t>2025.4/4</t>
    <phoneticPr fontId="2" type="noConversion"/>
  </si>
  <si>
    <r>
      <t>24.7</t>
    </r>
    <r>
      <rPr>
        <sz val="10"/>
        <color rgb="FF000000"/>
        <rFont val="휴먼명조"/>
        <charset val="129"/>
      </rPr>
      <t>월</t>
    </r>
    <phoneticPr fontId="2" type="noConversion"/>
  </si>
  <si>
    <r>
      <t>8</t>
    </r>
    <r>
      <rPr>
        <sz val="11"/>
        <color rgb="FF000000"/>
        <rFont val="돋움"/>
        <family val="3"/>
        <charset val="129"/>
      </rPr>
      <t>월</t>
    </r>
    <phoneticPr fontId="2" type="noConversion"/>
  </si>
  <si>
    <r>
      <t>9</t>
    </r>
    <r>
      <rPr>
        <sz val="11"/>
        <color rgb="FF000000"/>
        <rFont val="돋움"/>
        <family val="3"/>
        <charset val="129"/>
      </rPr>
      <t>월</t>
    </r>
    <phoneticPr fontId="2" type="noConversion"/>
  </si>
  <si>
    <t>사료(생산자)</t>
    <phoneticPr fontId="2" type="noConversion"/>
  </si>
  <si>
    <t>전년동월대비(우측)</t>
    <phoneticPr fontId="2" type="noConversion"/>
  </si>
  <si>
    <t>전월대비(좌측)</t>
    <phoneticPr fontId="2" type="noConversion"/>
  </si>
  <si>
    <t>　　　내구재</t>
  </si>
  <si>
    <t>　　　준내구재</t>
  </si>
  <si>
    <t>　　　비내구재</t>
  </si>
  <si>
    <t>2023/Q1</t>
    <phoneticPr fontId="57" type="noConversion"/>
  </si>
  <si>
    <t>계절조정지수</t>
  </si>
  <si>
    <t>불변지수</t>
  </si>
  <si>
    <t>전기대비</t>
    <phoneticPr fontId="2" type="noConversion"/>
  </si>
  <si>
    <t>전년동기대비</t>
    <phoneticPr fontId="2" type="noConversion"/>
  </si>
  <si>
    <t>음식료품</t>
    <phoneticPr fontId="2" type="noConversion"/>
  </si>
  <si>
    <t>소매판매액지수</t>
    <phoneticPr fontId="2" type="noConversion"/>
  </si>
  <si>
    <t>2021.1/4</t>
  </si>
  <si>
    <t>2021.2/4</t>
  </si>
  <si>
    <t>2021.3/4</t>
  </si>
  <si>
    <t>2021.4/4</t>
  </si>
  <si>
    <t>2022.1/4</t>
  </si>
  <si>
    <t>2022.2/4</t>
  </si>
  <si>
    <t>2022.3/4</t>
  </si>
  <si>
    <t>2022.4/4</t>
  </si>
  <si>
    <t>2023.1/4</t>
  </si>
  <si>
    <t>2023.2/4</t>
  </si>
  <si>
    <t>2023.3/4</t>
  </si>
  <si>
    <t>2023.4/4</t>
  </si>
  <si>
    <t>2024.1/4</t>
  </si>
  <si>
    <t>2024.2/4</t>
  </si>
  <si>
    <t>2024.3/4</t>
  </si>
  <si>
    <t>2024.4/4</t>
  </si>
  <si>
    <t>'24.1월</t>
    <phoneticPr fontId="2" type="noConversion"/>
  </si>
  <si>
    <t>2월</t>
    <phoneticPr fontId="2" type="noConversion"/>
  </si>
  <si>
    <t>3월</t>
    <phoneticPr fontId="2" type="noConversion"/>
  </si>
  <si>
    <t>'25.1월</t>
    <phoneticPr fontId="2" type="noConversion"/>
  </si>
  <si>
    <t>2월</t>
    <phoneticPr fontId="2" type="noConversion"/>
  </si>
  <si>
    <t>온라인쇼핑 합계</t>
    <phoneticPr fontId="2" type="noConversion"/>
  </si>
  <si>
    <t>(모바일 쇼핑)</t>
    <phoneticPr fontId="2" type="noConversion"/>
  </si>
  <si>
    <t>음·식료품</t>
  </si>
  <si>
    <t>농축수산물</t>
  </si>
  <si>
    <t>음식서비스</t>
  </si>
  <si>
    <t>전년동기</t>
    <phoneticPr fontId="2" type="noConversion"/>
  </si>
  <si>
    <t>농식품</t>
    <phoneticPr fontId="2" type="noConversion"/>
  </si>
  <si>
    <t>2025.1/4</t>
  </si>
  <si>
    <t>남자</t>
    <phoneticPr fontId="2" type="noConversion"/>
  </si>
  <si>
    <t>노무비</t>
    <phoneticPr fontId="2" type="noConversion"/>
  </si>
  <si>
    <t xml:space="preserve">농가 판매 및 구입가격지수 </t>
    <phoneticPr fontId="9" type="noConversion"/>
  </si>
  <si>
    <t>자료 : 통계청_ 농가팬매및구입가격조사 / KOSIS_말일</t>
    <phoneticPr fontId="2" type="noConversion"/>
  </si>
  <si>
    <t>판매가격지수</t>
    <phoneticPr fontId="2" type="noConversion"/>
  </si>
  <si>
    <t>구입가격지수</t>
    <phoneticPr fontId="2" type="noConversion"/>
  </si>
  <si>
    <t>1. 농가구입가격지수 : 농업 경영에 필요한 자재, 노동력, 생활용품 등의 가격 변동을 반영하는 지표, 농가의 경영비 부담을 평가하는데 활용</t>
    <phoneticPr fontId="2" type="noConversion"/>
  </si>
  <si>
    <t>2. 농가판매가격지수 : 농업경영활동으로 생산된 농산물 및 축산물 등 75개 품목의 2020년 기준(2020=100) 의 가격지수</t>
    <phoneticPr fontId="2" type="noConversion"/>
  </si>
  <si>
    <t>곡물, 유지류, 낙농품 등 55개 주요 농산물의 국가가격동향을 점검해 매월 발표하고 있는 가격지수</t>
    <phoneticPr fontId="2" type="noConversion"/>
  </si>
  <si>
    <t xml:space="preserve">소매판매지수 / 음식료품 소매판매액 지수 / 온라인쇼핑 거래액 </t>
    <phoneticPr fontId="9" type="noConversion"/>
  </si>
  <si>
    <t>실질, 계절계열, 전기비</t>
    <phoneticPr fontId="2" type="noConversion"/>
  </si>
  <si>
    <t xml:space="preserve">소비자물가지수 / 생산자물가지수(매월 중순) </t>
    <phoneticPr fontId="9" type="noConversion"/>
  </si>
  <si>
    <t>매월 자료만 분기별 없음</t>
    <phoneticPr fontId="2" type="noConversion"/>
  </si>
  <si>
    <t>분기자료만 매월자료 없음</t>
    <phoneticPr fontId="2" type="noConversion"/>
  </si>
  <si>
    <t>매월자료/ 분기별 없음</t>
    <phoneticPr fontId="2" type="noConversion"/>
  </si>
  <si>
    <t>근원물가지수</t>
    <phoneticPr fontId="2" type="noConversion"/>
  </si>
  <si>
    <t xml:space="preserve"> 구 분</t>
    <phoneticPr fontId="2" type="noConversion"/>
  </si>
  <si>
    <t>21.1</t>
    <phoneticPr fontId="2" type="noConversion"/>
  </si>
  <si>
    <t>1분기</t>
    <phoneticPr fontId="2" type="noConversion"/>
  </si>
  <si>
    <t>2분기</t>
    <phoneticPr fontId="2" type="noConversion"/>
  </si>
  <si>
    <t>3분기</t>
    <phoneticPr fontId="2" type="noConversion"/>
  </si>
  <si>
    <t>4분기</t>
    <phoneticPr fontId="2" type="noConversion"/>
  </si>
  <si>
    <r>
      <t>4</t>
    </r>
    <r>
      <rPr>
        <sz val="11"/>
        <color rgb="FF000000"/>
        <rFont val="맑은 고딕"/>
        <family val="2"/>
        <charset val="129"/>
      </rPr>
      <t>월</t>
    </r>
    <phoneticPr fontId="2" type="noConversion"/>
  </si>
  <si>
    <r>
      <t>5월</t>
    </r>
    <r>
      <rPr>
        <sz val="11"/>
        <color rgb="FF000000"/>
        <rFont val="휴먼명조"/>
        <charset val="129"/>
      </rPr>
      <t/>
    </r>
  </si>
  <si>
    <r>
      <t>6월</t>
    </r>
    <r>
      <rPr>
        <sz val="11"/>
        <color rgb="FF000000"/>
        <rFont val="맑은 고딕"/>
        <family val="2"/>
        <charset val="129"/>
      </rPr>
      <t/>
    </r>
  </si>
  <si>
    <r>
      <t>7월</t>
    </r>
    <r>
      <rPr>
        <sz val="11"/>
        <color rgb="FF000000"/>
        <rFont val="휴먼명조"/>
        <charset val="129"/>
      </rPr>
      <t/>
    </r>
  </si>
  <si>
    <r>
      <t>8월</t>
    </r>
    <r>
      <rPr>
        <sz val="11"/>
        <color rgb="FF000000"/>
        <rFont val="맑은 고딕"/>
        <family val="2"/>
        <charset val="129"/>
      </rPr>
      <t/>
    </r>
  </si>
  <si>
    <r>
      <t>9월</t>
    </r>
    <r>
      <rPr>
        <sz val="11"/>
        <color rgb="FF000000"/>
        <rFont val="휴먼명조"/>
        <charset val="129"/>
      </rPr>
      <t/>
    </r>
  </si>
  <si>
    <r>
      <t>10월</t>
    </r>
    <r>
      <rPr>
        <sz val="11"/>
        <color rgb="FF000000"/>
        <rFont val="맑은 고딕"/>
        <family val="2"/>
        <charset val="129"/>
      </rPr>
      <t/>
    </r>
  </si>
  <si>
    <r>
      <t>11월</t>
    </r>
    <r>
      <rPr>
        <sz val="11"/>
        <color rgb="FF000000"/>
        <rFont val="휴먼명조"/>
        <charset val="129"/>
      </rPr>
      <t/>
    </r>
  </si>
  <si>
    <r>
      <t>12월</t>
    </r>
    <r>
      <rPr>
        <sz val="11"/>
        <color rgb="FF000000"/>
        <rFont val="맑은 고딕"/>
        <family val="2"/>
        <charset val="129"/>
      </rPr>
      <t/>
    </r>
  </si>
  <si>
    <t>'24.10월</t>
  </si>
  <si>
    <t>'25.1월</t>
  </si>
  <si>
    <r>
      <t>'24.10</t>
    </r>
    <r>
      <rPr>
        <sz val="11"/>
        <color rgb="FF000000"/>
        <rFont val="휴먼명조"/>
        <charset val="129"/>
      </rPr>
      <t>월</t>
    </r>
    <phoneticPr fontId="2" type="noConversion"/>
  </si>
  <si>
    <t>농식품부보도자료</t>
    <phoneticPr fontId="2" type="noConversion"/>
  </si>
  <si>
    <r>
      <t>'24.10</t>
    </r>
    <r>
      <rPr>
        <sz val="11"/>
        <color rgb="FF000000"/>
        <rFont val="휴먼명조"/>
        <charset val="129"/>
      </rPr>
      <t>월</t>
    </r>
    <phoneticPr fontId="2" type="noConversion"/>
  </si>
  <si>
    <r>
      <t>4월</t>
    </r>
    <r>
      <rPr>
        <sz val="11"/>
        <color rgb="FF000000"/>
        <rFont val="휴먼명조"/>
        <charset val="129"/>
      </rPr>
      <t/>
    </r>
  </si>
  <si>
    <r>
      <t>6월</t>
    </r>
    <r>
      <rPr>
        <sz val="11"/>
        <color rgb="FF000000"/>
        <rFont val="휴먼명조"/>
        <charset val="129"/>
      </rPr>
      <t/>
    </r>
  </si>
  <si>
    <t>연도</t>
  </si>
  <si>
    <t>식량가격지수</t>
  </si>
  <si>
    <t>1월</t>
  </si>
  <si>
    <r>
      <t>'24.10</t>
    </r>
    <r>
      <rPr>
        <sz val="10"/>
        <color rgb="FF000000"/>
        <rFont val="휴먼명조"/>
        <charset val="129"/>
      </rPr>
      <t>월</t>
    </r>
    <phoneticPr fontId="2" type="noConversion"/>
  </si>
  <si>
    <r>
      <t>4</t>
    </r>
    <r>
      <rPr>
        <sz val="11"/>
        <color rgb="FF000000"/>
        <rFont val="돋움"/>
        <family val="3"/>
        <charset val="129"/>
      </rPr>
      <t>월</t>
    </r>
    <phoneticPr fontId="2" type="noConversion"/>
  </si>
  <si>
    <r>
      <t>5</t>
    </r>
    <r>
      <rPr>
        <sz val="11"/>
        <color rgb="FF000000"/>
        <rFont val="돋움"/>
        <family val="3"/>
        <charset val="129"/>
      </rPr>
      <t>월</t>
    </r>
    <phoneticPr fontId="2" type="noConversion"/>
  </si>
  <si>
    <r>
      <t>6</t>
    </r>
    <r>
      <rPr>
        <sz val="11"/>
        <color rgb="FF000000"/>
        <rFont val="돋움"/>
        <family val="3"/>
        <charset val="129"/>
      </rPr>
      <t>월</t>
    </r>
    <phoneticPr fontId="2" type="noConversion"/>
  </si>
  <si>
    <t>2025/04</t>
  </si>
  <si>
    <t>2025/05</t>
  </si>
  <si>
    <t>2025/06</t>
  </si>
  <si>
    <t>4월</t>
    <phoneticPr fontId="2" type="noConversion"/>
  </si>
  <si>
    <t>5월</t>
    <phoneticPr fontId="2" type="noConversion"/>
  </si>
  <si>
    <t>6월</t>
    <phoneticPr fontId="2" type="noConversion"/>
  </si>
  <si>
    <t>숙박음식점업</t>
    <phoneticPr fontId="2" type="noConversion"/>
  </si>
  <si>
    <t>'24.10월</t>
    <phoneticPr fontId="2" type="noConversion"/>
  </si>
  <si>
    <t>전기대비</t>
    <phoneticPr fontId="2" type="noConversion"/>
  </si>
  <si>
    <t>전년동기대비</t>
    <phoneticPr fontId="2" type="noConversion"/>
  </si>
  <si>
    <t>2025/Q2</t>
    <phoneticPr fontId="2" type="noConversion"/>
  </si>
  <si>
    <t xml:space="preserve">2025.1/4 </t>
    <phoneticPr fontId="2" type="noConversion"/>
  </si>
  <si>
    <t>승용차</t>
  </si>
  <si>
    <t>　가전제품</t>
    <phoneticPr fontId="2" type="noConversion"/>
  </si>
  <si>
    <t>통신기기 및 컴퓨터</t>
  </si>
  <si>
    <t>가구</t>
    <phoneticPr fontId="2" type="noConversion"/>
  </si>
  <si>
    <t>의복</t>
    <phoneticPr fontId="2" type="noConversion"/>
  </si>
  <si>
    <t>신발및가방</t>
    <phoneticPr fontId="2" type="noConversion"/>
  </si>
  <si>
    <t>오락취미</t>
    <phoneticPr fontId="2" type="noConversion"/>
  </si>
  <si>
    <t>2025/Q2</t>
    <phoneticPr fontId="2" type="noConversion"/>
  </si>
  <si>
    <t>2025.2/4</t>
    <phoneticPr fontId="2" type="noConversion"/>
  </si>
  <si>
    <t>노무비지수</t>
    <phoneticPr fontId="2" type="noConversion"/>
  </si>
  <si>
    <t>통계표</t>
  </si>
  <si>
    <t>코드(계정항목)</t>
  </si>
  <si>
    <t>계정항목</t>
  </si>
  <si>
    <t>단위</t>
  </si>
  <si>
    <t>변환</t>
  </si>
  <si>
    <t>2015/Q1</t>
  </si>
  <si>
    <t>2015/Q2</t>
  </si>
  <si>
    <t>2015/Q3</t>
  </si>
  <si>
    <t>2015/Q4</t>
  </si>
  <si>
    <t>'16.1/4</t>
    <phoneticPr fontId="65" type="noConversion"/>
  </si>
  <si>
    <t>'16.2/4</t>
    <phoneticPr fontId="65" type="noConversion"/>
  </si>
  <si>
    <t>'16.3/4</t>
    <phoneticPr fontId="65" type="noConversion"/>
  </si>
  <si>
    <t>'16.4/4</t>
    <phoneticPr fontId="65" type="noConversion"/>
  </si>
  <si>
    <t>'17.1/4</t>
    <phoneticPr fontId="65" type="noConversion"/>
  </si>
  <si>
    <t>'17.2/4</t>
    <phoneticPr fontId="65" type="noConversion"/>
  </si>
  <si>
    <t>'17.3/4</t>
    <phoneticPr fontId="65" type="noConversion"/>
  </si>
  <si>
    <t>'17.4/4</t>
    <phoneticPr fontId="65" type="noConversion"/>
  </si>
  <si>
    <t>'18.1/4</t>
    <phoneticPr fontId="65" type="noConversion"/>
  </si>
  <si>
    <t>'18.2/4</t>
    <phoneticPr fontId="65" type="noConversion"/>
  </si>
  <si>
    <t>'18.3/4</t>
    <phoneticPr fontId="65" type="noConversion"/>
  </si>
  <si>
    <t>'18.4/4</t>
    <phoneticPr fontId="65" type="noConversion"/>
  </si>
  <si>
    <t>'19.1/4</t>
    <phoneticPr fontId="65" type="noConversion"/>
  </si>
  <si>
    <t>'19.2/4</t>
    <phoneticPr fontId="65" type="noConversion"/>
  </si>
  <si>
    <t>'19.3/4</t>
    <phoneticPr fontId="65" type="noConversion"/>
  </si>
  <si>
    <t>'19.4/4</t>
    <phoneticPr fontId="65" type="noConversion"/>
  </si>
  <si>
    <t>'20.1/4</t>
    <phoneticPr fontId="65" type="noConversion"/>
  </si>
  <si>
    <t>'20.2/4</t>
    <phoneticPr fontId="65" type="noConversion"/>
  </si>
  <si>
    <t>'20.3/4</t>
    <phoneticPr fontId="65" type="noConversion"/>
  </si>
  <si>
    <t>'20.4/4</t>
    <phoneticPr fontId="65" type="noConversion"/>
  </si>
  <si>
    <t>3Q</t>
    <phoneticPr fontId="65" type="noConversion"/>
  </si>
  <si>
    <t>4Q</t>
    <phoneticPr fontId="65" type="noConversion"/>
  </si>
  <si>
    <t>'22.1Q</t>
    <phoneticPr fontId="65" type="noConversion"/>
  </si>
  <si>
    <t>2Q</t>
    <phoneticPr fontId="65" type="noConversion"/>
  </si>
  <si>
    <t>4Q</t>
    <phoneticPr fontId="65" type="noConversion"/>
  </si>
  <si>
    <t>'23.1Q</t>
    <phoneticPr fontId="65" type="noConversion"/>
  </si>
  <si>
    <t>2Q</t>
    <phoneticPr fontId="65" type="noConversion"/>
  </si>
  <si>
    <t>3Q</t>
    <phoneticPr fontId="65" type="noConversion"/>
  </si>
  <si>
    <t>'24.1Q</t>
    <phoneticPr fontId="65" type="noConversion"/>
  </si>
  <si>
    <t>'25.1Q</t>
    <phoneticPr fontId="65" type="noConversion"/>
  </si>
  <si>
    <t>2.1.2.1.4. 경제활동별 GDP 및 GNI(원계열, 실질, 분기 및 연간)</t>
  </si>
  <si>
    <t>십억원</t>
  </si>
  <si>
    <t>원자료</t>
  </si>
  <si>
    <t>농림어업GDP</t>
    <phoneticPr fontId="65" type="noConversion"/>
  </si>
  <si>
    <t>농림어업GDP</t>
    <phoneticPr fontId="65" type="noConversion"/>
  </si>
  <si>
    <t>농림어업GDP</t>
    <phoneticPr fontId="65" type="noConversion"/>
  </si>
  <si>
    <r>
      <t>농림어업경제성장률</t>
    </r>
    <r>
      <rPr>
        <sz val="8"/>
        <color rgb="FF000000"/>
        <rFont val="돋움"/>
        <family val="3"/>
        <charset val="129"/>
      </rPr>
      <t>(전년동기대비)</t>
    </r>
    <phoneticPr fontId="65" type="noConversion"/>
  </si>
  <si>
    <r>
      <t>농림어업경제성장률</t>
    </r>
    <r>
      <rPr>
        <sz val="8"/>
        <color rgb="FF000000"/>
        <rFont val="돋움"/>
        <family val="3"/>
        <charset val="129"/>
      </rPr>
      <t>(전년동기대비)</t>
    </r>
    <phoneticPr fontId="65" type="noConversion"/>
  </si>
  <si>
    <t>2024년 상반기</t>
  </si>
  <si>
    <t>(2024.1.1.~2024.6.30.)</t>
  </si>
  <si>
    <t>2025년 상반기</t>
  </si>
  <si>
    <t>(2025.1.1.~2025.6.30.)</t>
  </si>
  <si>
    <t>전년 동기 대비</t>
  </si>
  <si>
    <r>
      <t>K-Food</t>
    </r>
    <r>
      <rPr>
        <b/>
        <vertAlign val="superscript"/>
        <sz val="13"/>
        <color rgb="FF000000"/>
        <rFont val="맑은 고딕"/>
        <family val="3"/>
        <charset val="129"/>
        <scheme val="minor"/>
      </rPr>
      <t>+</t>
    </r>
    <r>
      <rPr>
        <b/>
        <sz val="11"/>
        <color rgb="FF000000"/>
        <rFont val="맑은 고딕"/>
        <family val="3"/>
        <charset val="129"/>
        <scheme val="minor"/>
      </rPr>
      <t>(총계, A+B)</t>
    </r>
  </si>
  <si>
    <r>
      <t>농식품</t>
    </r>
    <r>
      <rPr>
        <b/>
        <sz val="11"/>
        <color rgb="FF000000"/>
        <rFont val="맑은 고딕"/>
        <family val="3"/>
        <charset val="129"/>
        <scheme val="minor"/>
      </rPr>
      <t>(계, A)</t>
    </r>
  </si>
  <si>
    <t>가공식품</t>
  </si>
  <si>
    <t>-라면</t>
  </si>
  <si>
    <t>-과자</t>
  </si>
  <si>
    <t>-음료</t>
  </si>
  <si>
    <t>-쌀가공식품</t>
  </si>
  <si>
    <t>신선식품</t>
  </si>
  <si>
    <t>△2.3</t>
  </si>
  <si>
    <t>-인삼류</t>
  </si>
  <si>
    <t>△14.2</t>
  </si>
  <si>
    <t>-김치</t>
  </si>
  <si>
    <t>△0.7</t>
  </si>
  <si>
    <t>-딸기</t>
  </si>
  <si>
    <t>-파프리카</t>
  </si>
  <si>
    <t>△5.2</t>
  </si>
  <si>
    <t>-포도</t>
  </si>
  <si>
    <t>-배</t>
  </si>
  <si>
    <t>△3.7</t>
  </si>
  <si>
    <r>
      <t>농산업</t>
    </r>
    <r>
      <rPr>
        <b/>
        <sz val="11"/>
        <color rgb="FF000000"/>
        <rFont val="맑은 고딕"/>
        <family val="3"/>
        <charset val="129"/>
        <scheme val="minor"/>
      </rPr>
      <t>(계, B)</t>
    </r>
  </si>
  <si>
    <t>농기자재</t>
  </si>
  <si>
    <t>-농기계</t>
  </si>
  <si>
    <t>△5.8</t>
  </si>
  <si>
    <t>-비료</t>
  </si>
  <si>
    <t>-농약</t>
  </si>
  <si>
    <t>-종자</t>
  </si>
  <si>
    <t>스마트팜</t>
  </si>
  <si>
    <t>△34.5</t>
  </si>
  <si>
    <t>동물용의약품</t>
  </si>
  <si>
    <t>펫푸드</t>
  </si>
  <si>
    <t>해외농업기반시설</t>
  </si>
  <si>
    <t>-</t>
  </si>
  <si>
    <t>식품기자재</t>
  </si>
  <si>
    <t>(단위 : 백만불, %)</t>
  </si>
  <si>
    <t xml:space="preserve">자료 : 통계청 KOSIS, 서비스업동향조사(매월말), 온라인쇼핑 동향(말일) </t>
    <phoneticPr fontId="2" type="noConversion"/>
  </si>
  <si>
    <t>자료 : 통계청_농가구입가격지수, 농가판매가격지수(중순) / 법무부 출입국외국인정책 통계월보(다음달 중순_체류자격별·연도별 외국인 입국자 현황)</t>
    <phoneticPr fontId="2" type="noConversion"/>
  </si>
  <si>
    <t>전월비</t>
    <phoneticPr fontId="2" type="noConversion"/>
  </si>
  <si>
    <t>소매판매액지수</t>
    <phoneticPr fontId="2" type="noConversion"/>
  </si>
  <si>
    <t>분기별 취업자수 / 분기 산업별 취업자 수 / 분기별 농림어업 취업자 수</t>
    <phoneticPr fontId="9" type="noConversion"/>
  </si>
  <si>
    <t>GDP 대비 가계부채 비율 상승폭</t>
    <phoneticPr fontId="2" type="noConversion"/>
  </si>
  <si>
    <t>기대수명</t>
    <phoneticPr fontId="2" type="noConversion"/>
  </si>
  <si>
    <t>연령대별 인구비중</t>
    <phoneticPr fontId="2" type="noConversion"/>
  </si>
  <si>
    <t>지니계수</t>
    <phoneticPr fontId="2" type="noConversion"/>
  </si>
  <si>
    <t>금융건전성 규제 수준</t>
    <phoneticPr fontId="2" type="noConversion"/>
  </si>
  <si>
    <r>
      <t>8월</t>
    </r>
    <r>
      <rPr>
        <sz val="11"/>
        <color rgb="FF000000"/>
        <rFont val="휴먼명조"/>
        <charset val="129"/>
      </rPr>
      <t/>
    </r>
  </si>
  <si>
    <r>
      <t>7월</t>
    </r>
    <r>
      <rPr>
        <sz val="11"/>
        <color rgb="FF000000"/>
        <rFont val="돋움"/>
        <family val="3"/>
        <charset val="129"/>
      </rPr>
      <t/>
    </r>
  </si>
  <si>
    <r>
      <t>8월</t>
    </r>
    <r>
      <rPr>
        <sz val="11"/>
        <color rgb="FF000000"/>
        <rFont val="돋움"/>
        <family val="3"/>
        <charset val="129"/>
      </rPr>
      <t/>
    </r>
  </si>
  <si>
    <r>
      <t>9월</t>
    </r>
    <r>
      <rPr>
        <sz val="11"/>
        <color rgb="FF000000"/>
        <rFont val="돋움"/>
        <family val="3"/>
        <charset val="129"/>
      </rPr>
      <t/>
    </r>
  </si>
  <si>
    <t>자료 : 농림축산식품부_보도자료_세계식량가격지수 / 한국은행 경제통계시스템 3.1.1.3</t>
    <phoneticPr fontId="2" type="noConversion"/>
  </si>
  <si>
    <t>자료 : 통계청</t>
    <phoneticPr fontId="2" type="noConversion"/>
  </si>
  <si>
    <t xml:space="preserve">자료 : 한국은행 경제통계시스템9.1.6.3/ 한국석유공사 오피넷 </t>
    <phoneticPr fontId="2" type="noConversion"/>
  </si>
  <si>
    <t>2025/07</t>
  </si>
  <si>
    <t>2025/08</t>
  </si>
  <si>
    <t>2025/09</t>
  </si>
  <si>
    <t>25.7월</t>
    <phoneticPr fontId="2" type="noConversion"/>
  </si>
  <si>
    <t>8월</t>
    <phoneticPr fontId="2" type="noConversion"/>
  </si>
  <si>
    <t>9월</t>
    <phoneticPr fontId="2" type="noConversion"/>
  </si>
  <si>
    <t>통계청</t>
    <phoneticPr fontId="2" type="noConversion"/>
  </si>
  <si>
    <t xml:space="preserve">      농산물(과일)</t>
    <phoneticPr fontId="2" type="noConversion"/>
  </si>
  <si>
    <t>농산물(과일)</t>
    <phoneticPr fontId="2" type="noConversion"/>
  </si>
  <si>
    <t>24.3분기</t>
    <phoneticPr fontId="2" type="noConversion"/>
  </si>
  <si>
    <t>25.3분기</t>
    <phoneticPr fontId="2" type="noConversion"/>
  </si>
  <si>
    <t>'21.2Q</t>
    <phoneticPr fontId="65" type="noConversion"/>
  </si>
  <si>
    <t>도매및소매업</t>
    <phoneticPr fontId="2" type="noConversion"/>
  </si>
  <si>
    <t>부동산업</t>
    <phoneticPr fontId="2" type="noConversion"/>
  </si>
  <si>
    <t>여자</t>
    <phoneticPr fontId="2" type="noConversion"/>
  </si>
  <si>
    <t>23.3분기</t>
    <phoneticPr fontId="2" type="noConversion"/>
  </si>
  <si>
    <t>자료 : 산업통상자원부_수출입 동향 보고 / 관세청_수출입 현황 / 통계시스템_수출입총괄 / 농식품부 수출실적 보도자료</t>
    <phoneticPr fontId="2" type="noConversion"/>
  </si>
  <si>
    <t>2025/Q3.</t>
    <phoneticPr fontId="2" type="noConversion"/>
  </si>
  <si>
    <t>2025/Q3p</t>
    <phoneticPr fontId="2" type="noConversion"/>
  </si>
  <si>
    <t>2025/Q3</t>
    <phoneticPr fontId="2" type="noConversion"/>
  </si>
  <si>
    <t>20253/4 p)</t>
    <phoneticPr fontId="2" type="noConversion"/>
  </si>
  <si>
    <t xml:space="preserve">2025.2/4 </t>
    <phoneticPr fontId="2" type="noConversion"/>
  </si>
  <si>
    <t>7월p</t>
    <phoneticPr fontId="2" type="noConversion"/>
  </si>
  <si>
    <t>8월p</t>
    <phoneticPr fontId="2" type="noConversion"/>
  </si>
  <si>
    <t>9월p</t>
    <phoneticPr fontId="2" type="noConversion"/>
  </si>
  <si>
    <t>단위:억원</t>
    <phoneticPr fontId="2" type="noConversion"/>
  </si>
  <si>
    <t>　　　　　　음식료품</t>
  </si>
  <si>
    <t>　　　　　　의약품</t>
  </si>
  <si>
    <t>　　　　　　화장품</t>
  </si>
  <si>
    <t>　　　　　　서적, 문구</t>
  </si>
  <si>
    <t>　　　　　　차량연료</t>
  </si>
  <si>
    <t>7월</t>
    <phoneticPr fontId="2" type="noConversion"/>
  </si>
  <si>
    <t>전월대비</t>
    <phoneticPr fontId="2" type="noConversion"/>
  </si>
  <si>
    <r>
      <t>'24.1</t>
    </r>
    <r>
      <rPr>
        <sz val="11"/>
        <color rgb="FF000000"/>
        <rFont val="휴먼명조"/>
        <charset val="129"/>
      </rPr>
      <t>월</t>
    </r>
    <phoneticPr fontId="2" type="noConversion"/>
  </si>
  <si>
    <t>전년동월대비</t>
    <phoneticPr fontId="2" type="noConversion"/>
  </si>
  <si>
    <t>자동차 및  자동차용품</t>
    <phoneticPr fontId="2" type="noConversion"/>
  </si>
  <si>
    <t>2025.07 p)</t>
  </si>
  <si>
    <t>2025.08 p)</t>
  </si>
  <si>
    <t>2025.09 p)</t>
  </si>
  <si>
    <t>24.7월</t>
    <phoneticPr fontId="2" type="noConversion"/>
  </si>
  <si>
    <t>24.8월</t>
  </si>
  <si>
    <t>24.9월</t>
  </si>
  <si>
    <r>
      <t>23.9</t>
    </r>
    <r>
      <rPr>
        <sz val="11"/>
        <color rgb="FF000000"/>
        <rFont val="맑은 고딕"/>
        <family val="2"/>
        <charset val="129"/>
      </rPr>
      <t>월</t>
    </r>
    <phoneticPr fontId="2" type="noConversion"/>
  </si>
  <si>
    <t>23.6월</t>
    <phoneticPr fontId="2" type="noConversion"/>
  </si>
  <si>
    <t>농산물</t>
    <phoneticPr fontId="2" type="noConversion"/>
  </si>
  <si>
    <t>축산물</t>
    <phoneticPr fontId="2" type="noConversion"/>
  </si>
  <si>
    <t>　　　　　　　　　곡물</t>
  </si>
  <si>
    <t>　　　　　　　　　채소</t>
  </si>
  <si>
    <t>　　　　　　　　　과실</t>
  </si>
  <si>
    <t>　　　　　　　　　기타농산물</t>
  </si>
  <si>
    <t>10월</t>
    <phoneticPr fontId="2" type="noConversion"/>
  </si>
  <si>
    <t>3분기 없음</t>
    <phoneticPr fontId="2" type="noConversion"/>
  </si>
  <si>
    <t>농산물(소비자)</t>
    <phoneticPr fontId="2" type="noConversion"/>
  </si>
  <si>
    <t>KATI 수출 동향보고서 활용</t>
    <phoneticPr fontId="2" type="noConversion"/>
  </si>
  <si>
    <t>2025년 1/4</t>
  </si>
  <si>
    <t>2025년 2/4</t>
    <phoneticPr fontId="2" type="noConversion"/>
  </si>
  <si>
    <t>2025년 3/4</t>
    <phoneticPr fontId="2" type="noConversion"/>
  </si>
  <si>
    <t>품목명</t>
  </si>
  <si>
    <t>선박</t>
  </si>
  <si>
    <t>무선</t>
  </si>
  <si>
    <t>통신</t>
  </si>
  <si>
    <t>기기</t>
  </si>
  <si>
    <t>일반</t>
  </si>
  <si>
    <t>기계</t>
  </si>
  <si>
    <t>석유</t>
  </si>
  <si>
    <t>화학</t>
  </si>
  <si>
    <t>철강</t>
  </si>
  <si>
    <t>제품</t>
  </si>
  <si>
    <t>반도체</t>
  </si>
  <si>
    <t>자동차</t>
  </si>
  <si>
    <t>디스</t>
  </si>
  <si>
    <t>플레이</t>
  </si>
  <si>
    <t>섬유</t>
  </si>
  <si>
    <t>가전</t>
  </si>
  <si>
    <t>부품</t>
  </si>
  <si>
    <t>컴퓨터</t>
  </si>
  <si>
    <t>바이오</t>
  </si>
  <si>
    <t>헬스</t>
  </si>
  <si>
    <t>이차전지</t>
  </si>
  <si>
    <t>(백만달러, 전년동기대비%, 비중%)</t>
  </si>
  <si>
    <t>’24년 전체</t>
  </si>
  <si>
    <t>‘24년</t>
  </si>
  <si>
    <t>‘25년</t>
  </si>
  <si>
    <t>(△28.5)</t>
  </si>
  <si>
    <t>(△15.6)</t>
  </si>
  <si>
    <t>(△1.3)</t>
  </si>
  <si>
    <t>(△9.9)</t>
  </si>
  <si>
    <t>(△3.5)</t>
  </si>
  <si>
    <t>(△9.4)</t>
  </si>
  <si>
    <t>(△3.8)</t>
  </si>
  <si>
    <t>(△17.5)</t>
  </si>
  <si>
    <t>(△14.1)</t>
  </si>
  <si>
    <t>(△6.9)</t>
  </si>
  <si>
    <t>(△4.2)</t>
  </si>
  <si>
    <t>(△13.4)</t>
  </si>
  <si>
    <t>(△8.1)</t>
  </si>
  <si>
    <t>(△19.1)</t>
  </si>
  <si>
    <t>(△7.4)</t>
  </si>
  <si>
    <t>(△21.4)</t>
  </si>
  <si>
    <t>(△12.2)</t>
  </si>
  <si>
    <t>(△6.3)</t>
  </si>
  <si>
    <t>(△5.3)</t>
  </si>
  <si>
    <t>(△7.7)</t>
  </si>
  <si>
    <t>(△17.6)</t>
  </si>
  <si>
    <t>(△10.4)</t>
  </si>
  <si>
    <t>(△1.2)</t>
  </si>
  <si>
    <t>(△5.7)</t>
  </si>
  <si>
    <t>(△11.1)</t>
  </si>
  <si>
    <t>(△0.5)</t>
  </si>
  <si>
    <t>(△9.8)</t>
  </si>
  <si>
    <t>(△12.0)</t>
  </si>
  <si>
    <t>(△18.7)</t>
  </si>
  <si>
    <t>(△13.7)</t>
  </si>
  <si>
    <t>(△9.0)</t>
  </si>
  <si>
    <t>(△17.4)</t>
  </si>
  <si>
    <t>(△2.8)</t>
  </si>
  <si>
    <t>(△5.4)</t>
  </si>
  <si>
    <t>(△4.8)</t>
  </si>
  <si>
    <t>(△5.0)</t>
  </si>
  <si>
    <t>(△4.3)</t>
  </si>
  <si>
    <t>(△11.0)</t>
  </si>
  <si>
    <t>(△12.4)</t>
  </si>
  <si>
    <t>(△8.2)</t>
  </si>
  <si>
    <t>(△3.0)</t>
  </si>
  <si>
    <t>(△15.4)</t>
  </si>
  <si>
    <t>(△0.1)</t>
  </si>
  <si>
    <t>(△13.6)</t>
  </si>
  <si>
    <t>(△19.6)</t>
  </si>
  <si>
    <t>(△3.7)</t>
  </si>
  <si>
    <t>(△4.5)</t>
  </si>
  <si>
    <t>(△3.2)</t>
  </si>
  <si>
    <t>(△18.5)</t>
  </si>
  <si>
    <t>(△34.5)</t>
  </si>
  <si>
    <t>(△18.6)</t>
  </si>
  <si>
    <t>(△11.6)</t>
  </si>
  <si>
    <t>(△28.2)</t>
  </si>
  <si>
    <t>(△12.5)</t>
  </si>
  <si>
    <t>(△29.2)</t>
  </si>
  <si>
    <t>(△15.8)</t>
  </si>
  <si>
    <t>(△20.9)</t>
  </si>
  <si>
    <t>(△5.8)</t>
  </si>
  <si>
    <t>(△5.1)</t>
  </si>
  <si>
    <t>(△22.7)</t>
  </si>
  <si>
    <t>(△22.0)</t>
  </si>
  <si>
    <t>(△3.3)</t>
  </si>
  <si>
    <t>(△16.0)</t>
  </si>
  <si>
    <t>(△18.0)</t>
  </si>
  <si>
    <t>(△36.1)</t>
  </si>
  <si>
    <t>(△9.2)</t>
  </si>
  <si>
    <t>(△4.1)</t>
  </si>
  <si>
    <t>(△8.5)</t>
  </si>
  <si>
    <t>(△4.4)</t>
  </si>
  <si>
    <t>(△16.1)</t>
  </si>
  <si>
    <t>(△1.7)</t>
  </si>
  <si>
    <t>(△6.1)</t>
  </si>
  <si>
    <t>(△11.9)</t>
  </si>
  <si>
    <t>(△5.5)</t>
  </si>
  <si>
    <t>(△12.7)</t>
  </si>
  <si>
    <t>(△13.9)</t>
  </si>
  <si>
    <t>(△17.3)</t>
  </si>
  <si>
    <t>(△7.6)</t>
  </si>
  <si>
    <t>(△4.6)</t>
  </si>
  <si>
    <t>(△14.9)</t>
  </si>
  <si>
    <t>(△12.1)</t>
  </si>
  <si>
    <t>(△11.8)</t>
  </si>
  <si>
    <t>(△1.8)</t>
  </si>
  <si>
    <t>(△6.7)</t>
  </si>
  <si>
    <t>(△7.2)</t>
  </si>
  <si>
    <t>(△8.8)</t>
  </si>
  <si>
    <t>(△15.3)</t>
  </si>
  <si>
    <t>(△18.2)</t>
  </si>
  <si>
    <t>(△13.2)</t>
  </si>
  <si>
    <t>(△2.5)</t>
  </si>
  <si>
    <t>(△11.7)</t>
  </si>
  <si>
    <t>(△16.6)</t>
  </si>
  <si>
    <t>(△26.3)</t>
  </si>
  <si>
    <t>(△13.5)</t>
  </si>
  <si>
    <t>(△12.6)</t>
  </si>
  <si>
    <t>(△9.6)</t>
  </si>
  <si>
    <t>(△4.7)</t>
  </si>
  <si>
    <t>(△21.1)</t>
  </si>
  <si>
    <t>(△31.3)</t>
  </si>
  <si>
    <t>1월</t>
    <phoneticPr fontId="2" type="noConversion"/>
  </si>
  <si>
    <t>누적</t>
    <phoneticPr fontId="2" type="noConversion"/>
  </si>
  <si>
    <t>(△39.8)</t>
  </si>
  <si>
    <t>(△36.5)</t>
  </si>
  <si>
    <t>(△14.2)</t>
  </si>
  <si>
    <t>(△16.9)</t>
  </si>
  <si>
    <t>(△10.5)</t>
  </si>
  <si>
    <t>(△3.9)</t>
  </si>
  <si>
    <t>(△8.3)</t>
  </si>
  <si>
    <t>(△6.0)</t>
  </si>
  <si>
    <t>(△2.6)</t>
  </si>
  <si>
    <t>(△1.6)</t>
  </si>
  <si>
    <t>(△10.1)</t>
  </si>
  <si>
    <t>(△7.9)</t>
  </si>
  <si>
    <t>(△24.3)</t>
  </si>
  <si>
    <t>(△5.2)</t>
  </si>
  <si>
    <t>(△2.0)</t>
  </si>
  <si>
    <t>(△0.4)</t>
  </si>
  <si>
    <t>(△4.9)</t>
  </si>
  <si>
    <t>(△14.4)</t>
  </si>
  <si>
    <t>(△11.2)</t>
  </si>
  <si>
    <t>(△2.7)</t>
  </si>
  <si>
    <t>(△0.3)</t>
  </si>
  <si>
    <t>(△3.1)</t>
  </si>
  <si>
    <t>(△6.8)</t>
  </si>
  <si>
    <t>(△3.6)</t>
  </si>
  <si>
    <t>(△25.3)</t>
  </si>
  <si>
    <t>(△23.1)</t>
  </si>
  <si>
    <t>(△20.1)</t>
  </si>
  <si>
    <t>(△19.5)</t>
  </si>
  <si>
    <t>(△20.6)</t>
  </si>
  <si>
    <t>(백만달러, 전년동기대비%)</t>
  </si>
  <si>
    <t>지역</t>
  </si>
  <si>
    <t xml:space="preserve">’23년 </t>
  </si>
  <si>
    <t>전체</t>
  </si>
  <si>
    <t>연간</t>
  </si>
  <si>
    <t>중국</t>
  </si>
  <si>
    <t>(△19.9)</t>
  </si>
  <si>
    <t>(△2)</t>
  </si>
  <si>
    <t>(△0.7)</t>
  </si>
  <si>
    <t>미국</t>
  </si>
  <si>
    <t>일본</t>
  </si>
  <si>
    <t>(△2.4)</t>
  </si>
  <si>
    <t>아세안</t>
  </si>
  <si>
    <t>(△0.2)</t>
  </si>
  <si>
    <t>EU(27)</t>
  </si>
  <si>
    <t>(△8.4)</t>
  </si>
  <si>
    <t>(△7.1)</t>
  </si>
  <si>
    <t>(△0.6)</t>
  </si>
  <si>
    <t>(△1.5)</t>
  </si>
  <si>
    <t>중동</t>
  </si>
  <si>
    <t>(△13.3)</t>
  </si>
  <si>
    <t>(△15.1)</t>
  </si>
  <si>
    <t>(△4.0)</t>
  </si>
  <si>
    <t>(△0.8)</t>
  </si>
  <si>
    <t>중남미</t>
  </si>
  <si>
    <t>CIS</t>
  </si>
  <si>
    <t>(△34.7)</t>
  </si>
  <si>
    <t>(△34.8)</t>
  </si>
  <si>
    <t>(△28.1)</t>
  </si>
  <si>
    <t>(△33.7)</t>
  </si>
  <si>
    <t>(△8.9)</t>
  </si>
  <si>
    <t>베트남</t>
  </si>
  <si>
    <t>(△12.3)</t>
  </si>
  <si>
    <t>인도</t>
  </si>
  <si>
    <t>(△10.3)</t>
  </si>
  <si>
    <t>(△9.5)</t>
  </si>
  <si>
    <t>(△7.0)</t>
  </si>
  <si>
    <t>(△1.4)</t>
  </si>
  <si>
    <t>(△1.9)</t>
  </si>
  <si>
    <t>(△36.4)</t>
  </si>
  <si>
    <t>(△17.2)</t>
  </si>
  <si>
    <t>(△16.4)</t>
  </si>
  <si>
    <t>누계</t>
    <phoneticPr fontId="2" type="noConversion"/>
  </si>
  <si>
    <t>dd</t>
    <phoneticPr fontId="2" type="noConversion"/>
  </si>
  <si>
    <t>2025.2/4</t>
    <phoneticPr fontId="2" type="noConversion"/>
  </si>
  <si>
    <t>2025.3/4</t>
    <phoneticPr fontId="2" type="noConversion"/>
  </si>
  <si>
    <t>2025.4/4</t>
    <phoneticPr fontId="2" type="noConversion"/>
  </si>
  <si>
    <t>2026.1/4</t>
    <phoneticPr fontId="2" type="noConversion"/>
  </si>
  <si>
    <t>2026.1/4</t>
    <phoneticPr fontId="2" type="noConversion"/>
  </si>
  <si>
    <t>'26.1Q</t>
    <phoneticPr fontId="65" type="noConversion"/>
  </si>
  <si>
    <t>2026.2/4</t>
    <phoneticPr fontId="2" type="noConversion"/>
  </si>
  <si>
    <t>(단위, 전년동기대비, 억달러,%)</t>
  </si>
  <si>
    <t>수출액</t>
  </si>
  <si>
    <t>2분기</t>
    <phoneticPr fontId="2" type="noConversion"/>
  </si>
  <si>
    <t>3분기</t>
  </si>
  <si>
    <r>
      <t>'26.1</t>
    </r>
    <r>
      <rPr>
        <sz val="11"/>
        <color rgb="FF000000"/>
        <rFont val="휴먼명조"/>
        <charset val="129"/>
      </rPr>
      <t>월</t>
    </r>
    <phoneticPr fontId="2" type="noConversion"/>
  </si>
  <si>
    <t>항목</t>
  </si>
  <si>
    <t>'25. 1/4</t>
  </si>
  <si>
    <t>'25. 2/4</t>
  </si>
  <si>
    <t>'25. 3/4</t>
  </si>
  <si>
    <t>'25. 4/4</t>
  </si>
  <si>
    <t>'26. 1/4</t>
  </si>
  <si>
    <t>'26. 2/4</t>
  </si>
  <si>
    <t>전기대비</t>
    <phoneticPr fontId="2" type="noConversion"/>
  </si>
  <si>
    <t>전년동기대비</t>
    <phoneticPr fontId="2" type="noConversion"/>
  </si>
  <si>
    <t>26년 2분기 음식료품 소매판매액지수 증감률 추이</t>
    <phoneticPr fontId="2" type="noConversion"/>
  </si>
  <si>
    <t>재별 및 상품군별 소매판매액지수(2020=100.0)</t>
  </si>
  <si>
    <t>**서비스업동향조사_소매판매통계_재별 및 상품군별 소매판매액지수</t>
    <phoneticPr fontId="2" type="noConversion"/>
  </si>
  <si>
    <t>26.1월</t>
    <phoneticPr fontId="2" type="noConversion"/>
  </si>
  <si>
    <t>2025.4/4</t>
    <phoneticPr fontId="2" type="noConversion"/>
  </si>
  <si>
    <t>2026.1/4</t>
    <phoneticPr fontId="2" type="noConversion"/>
  </si>
  <si>
    <t>2026.2/4</t>
    <phoneticPr fontId="2" type="noConversion"/>
  </si>
  <si>
    <t>25.2분기</t>
    <phoneticPr fontId="2" type="noConversion"/>
  </si>
  <si>
    <t>26.2분기</t>
    <phoneticPr fontId="2" type="noConversion"/>
  </si>
  <si>
    <r>
      <t>12월</t>
    </r>
    <r>
      <rPr>
        <sz val="11"/>
        <color rgb="FF000000"/>
        <rFont val="휴먼명조"/>
        <charset val="129"/>
      </rPr>
      <t/>
    </r>
  </si>
  <si>
    <r>
      <t>26.1</t>
    </r>
    <r>
      <rPr>
        <sz val="11"/>
        <color rgb="FF000000"/>
        <rFont val="휴먼명조"/>
        <charset val="129"/>
      </rPr>
      <t>월</t>
    </r>
    <phoneticPr fontId="2" type="noConversion"/>
  </si>
  <si>
    <r>
      <t>'25.10</t>
    </r>
    <r>
      <rPr>
        <sz val="11"/>
        <color rgb="FF000000"/>
        <rFont val="맑은 고딕"/>
        <family val="3"/>
        <charset val="129"/>
      </rPr>
      <t>월</t>
    </r>
    <phoneticPr fontId="2" type="noConversion"/>
  </si>
  <si>
    <t>11월</t>
    <phoneticPr fontId="2" type="noConversion"/>
  </si>
  <si>
    <t>'25.10월</t>
    <phoneticPr fontId="2" type="noConversion"/>
  </si>
  <si>
    <r>
      <t>11월</t>
    </r>
    <r>
      <rPr>
        <sz val="11"/>
        <color rgb="FF000000"/>
        <rFont val="돋움"/>
        <family val="3"/>
        <charset val="129"/>
      </rPr>
      <t/>
    </r>
  </si>
  <si>
    <r>
      <t>12월</t>
    </r>
    <r>
      <rPr>
        <sz val="11"/>
        <color rgb="FF000000"/>
        <rFont val="돋움"/>
        <family val="3"/>
        <charset val="129"/>
      </rPr>
      <t/>
    </r>
  </si>
  <si>
    <t>수출입물가지수(전월대비)4_3_1_3, 4_3_1_2</t>
    <phoneticPr fontId="9" type="noConversion"/>
  </si>
  <si>
    <t>'26.1월</t>
    <phoneticPr fontId="2" type="noConversion"/>
  </si>
  <si>
    <t>2025/10</t>
  </si>
  <si>
    <t>2025/11</t>
  </si>
  <si>
    <t>2025/12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</si>
</sst>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76" formatCode="0.0_ "/>
    <numFmt numFmtId="177" formatCode="[$-412]yyyy&quot;-&quot;m&quot;-&quot;d\ AM/PM\ h:mm;@"/>
    <numFmt numFmtId="178" formatCode="#,##0.0"/>
    <numFmt numFmtId="179" formatCode="_-* #,##0.0_-;\-* #,##0.0_-;_-* &quot;-&quot;??_-;_-@_-"/>
    <numFmt numFmtId="180" formatCode="_-* #,##0.0_-;\-* #,##0.0_-;_-* &quot;-&quot;_-;_-@_-"/>
    <numFmt numFmtId="181" formatCode="#,##0.0_ "/>
    <numFmt numFmtId="182" formatCode="0.0"/>
    <numFmt numFmtId="183" formatCode="0.0%"/>
    <numFmt numFmtId="184" formatCode="0.0_);[Red]\(0.0\)"/>
  </numFmts>
  <fonts count="90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9"/>
      <name val="굴림"/>
      <family val="3"/>
      <charset val="129"/>
    </font>
    <font>
      <sz val="12"/>
      <name val="맑은 고딕"/>
      <family val="3"/>
      <charset val="129"/>
      <scheme val="minor"/>
    </font>
    <font>
      <u/>
      <sz val="11"/>
      <color rgb="FF0000FF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indexed="10"/>
      <name val="맑은 고딕"/>
      <family val="3"/>
      <charset val="129"/>
      <scheme val="minor"/>
    </font>
    <font>
      <sz val="8"/>
      <name val="Arial"/>
      <family val="2"/>
    </font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ajor"/>
    </font>
    <font>
      <sz val="10"/>
      <color rgb="FF000000"/>
      <name val="Tahoma"/>
      <family val="2"/>
    </font>
    <font>
      <b/>
      <sz val="13"/>
      <color rgb="FF000000"/>
      <name val="한양중고딕"/>
      <family val="3"/>
      <charset val="129"/>
    </font>
    <font>
      <sz val="13"/>
      <color rgb="FF000000"/>
      <name val="한양중고딕"/>
      <family val="3"/>
      <charset val="129"/>
    </font>
    <font>
      <sz val="11"/>
      <color rgb="FF000000"/>
      <name val="HCI Poppy"/>
      <family val="2"/>
    </font>
    <font>
      <sz val="10"/>
      <color rgb="FF000000"/>
      <name val="휴먼명조"/>
      <charset val="129"/>
    </font>
    <font>
      <sz val="11"/>
      <color rgb="FF000000"/>
      <name val="휴먼명조"/>
      <charset val="129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0.5"/>
      <color rgb="FF888282"/>
      <name val="Noto Sans KR"/>
      <family val="2"/>
      <charset val="129"/>
    </font>
    <font>
      <sz val="10.5"/>
      <color rgb="FF555555"/>
      <name val="Noto Sans KR"/>
      <family val="2"/>
      <charset val="129"/>
    </font>
    <font>
      <sz val="11"/>
      <color rgb="FF555555"/>
      <name val="Noto Sans KR"/>
      <family val="2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KoPub돋움체 Bold"/>
      <family val="3"/>
      <charset val="129"/>
    </font>
    <font>
      <sz val="2"/>
      <color rgb="FF000000"/>
      <name val="맑은 고딕"/>
      <family val="3"/>
      <charset val="129"/>
      <scheme val="minor"/>
    </font>
    <font>
      <sz val="8"/>
      <color rgb="FF000000"/>
      <name val="KoPub돋움체 Bold"/>
      <family val="3"/>
      <charset val="129"/>
    </font>
    <font>
      <sz val="9"/>
      <color rgb="FF000000"/>
      <name val="KoPub돋움체 Bold"/>
      <family val="3"/>
      <charset val="129"/>
    </font>
    <font>
      <sz val="12"/>
      <color rgb="FF000000"/>
      <name val="맑은 고딕"/>
      <family val="3"/>
      <charset val="129"/>
      <scheme val="minor"/>
    </font>
    <font>
      <b/>
      <sz val="10"/>
      <color rgb="FFFF0000"/>
      <name val="KoPub바탕체 Light"/>
      <family val="3"/>
      <charset val="129"/>
    </font>
    <font>
      <sz val="10"/>
      <color rgb="FF191919"/>
      <name val="KoPub돋움체 Bold"/>
      <family val="3"/>
      <charset val="129"/>
    </font>
    <font>
      <sz val="10"/>
      <color theme="1"/>
      <name val="KoPub바탕체 Light"/>
      <family val="3"/>
      <charset val="129"/>
    </font>
    <font>
      <b/>
      <sz val="10"/>
      <color theme="1"/>
      <name val="KoPub바탕체 Light"/>
      <family val="3"/>
      <charset val="129"/>
    </font>
    <font>
      <b/>
      <sz val="10"/>
      <color rgb="FF0000FF"/>
      <name val="KoPub바탕체 Light"/>
      <family val="3"/>
      <charset val="129"/>
    </font>
    <font>
      <sz val="11"/>
      <color rgb="FF000000"/>
      <name val="돋움"/>
      <family val="3"/>
      <charset val="129"/>
    </font>
    <font>
      <b/>
      <sz val="12"/>
      <color rgb="FF000000"/>
      <name val="맑은 고딕"/>
      <family val="3"/>
      <charset val="129"/>
      <scheme val="minor"/>
    </font>
    <font>
      <sz val="10.5"/>
      <color rgb="FF888282"/>
      <name val="맑은 고딕"/>
      <family val="3"/>
      <charset val="129"/>
      <scheme val="major"/>
    </font>
    <font>
      <sz val="10.5"/>
      <color rgb="FF555555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sz val="10.5"/>
      <color rgb="FFFF0000"/>
      <name val="Noto Sans KR"/>
      <family val="2"/>
      <charset val="129"/>
    </font>
    <font>
      <sz val="10.5"/>
      <color rgb="FFFF0000"/>
      <name val="Noto Sans KR"/>
      <family val="2"/>
      <charset val="128"/>
    </font>
    <font>
      <sz val="1"/>
      <color rgb="FF000000"/>
      <name val="맑은 고딕"/>
      <family val="3"/>
      <charset val="129"/>
      <scheme val="minor"/>
    </font>
    <font>
      <sz val="10"/>
      <color rgb="FF000000"/>
      <name val="KoPub돋움체 Medium"/>
      <family val="3"/>
      <charset val="129"/>
    </font>
    <font>
      <sz val="10"/>
      <color rgb="FFE40000"/>
      <name val="KoPub바탕체 Light"/>
      <family val="3"/>
      <charset val="129"/>
    </font>
    <font>
      <b/>
      <sz val="10"/>
      <color rgb="FFE4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.5"/>
      <color rgb="FF888282"/>
      <name val="Noto Sans KR"/>
      <family val="3"/>
      <charset val="129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</font>
    <font>
      <sz val="11"/>
      <color theme="1"/>
      <name val="Noto Sans KR"/>
      <family val="2"/>
      <charset val="128"/>
    </font>
    <font>
      <sz val="11"/>
      <color rgb="FFFF0000"/>
      <name val="맑은 고딕"/>
      <family val="3"/>
      <charset val="129"/>
      <scheme val="minor"/>
    </font>
    <font>
      <sz val="11"/>
      <color rgb="FF555555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inor"/>
    </font>
    <font>
      <b/>
      <sz val="10"/>
      <color rgb="FFE40000"/>
      <name val="KoPub바탕체 Light"/>
      <family val="3"/>
      <charset val="129"/>
    </font>
    <font>
      <sz val="8"/>
      <name val="돋움"/>
      <family val="3"/>
      <charset val="129"/>
    </font>
    <font>
      <sz val="10.5"/>
      <color rgb="FF555555"/>
      <name val="Noto Sans KR"/>
      <family val="3"/>
      <charset val="129"/>
    </font>
    <font>
      <sz val="10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4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vertAlign val="superscript"/>
      <sz val="13"/>
      <color rgb="FF000000"/>
      <name val="맑은 고딕"/>
      <family val="3"/>
      <charset val="129"/>
      <scheme val="minor"/>
    </font>
    <font>
      <b/>
      <strike/>
      <sz val="13"/>
      <color rgb="FF000000"/>
      <name val="맑은 고딕"/>
      <family val="3"/>
      <charset val="129"/>
      <scheme val="minor"/>
    </font>
    <font>
      <strike/>
      <sz val="12"/>
      <color rgb="FF000000"/>
      <name val="맑은 고딕"/>
      <family val="3"/>
      <charset val="129"/>
      <scheme val="minor"/>
    </font>
    <font>
      <b/>
      <strike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한양중고딕"/>
      <family val="3"/>
      <charset val="129"/>
    </font>
    <font>
      <sz val="11"/>
      <color rgb="FF0000FF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ajor"/>
    </font>
    <font>
      <sz val="10.5"/>
      <color theme="1"/>
      <name val="Noto Sans KR"/>
      <family val="2"/>
      <charset val="129"/>
    </font>
    <font>
      <sz val="10.5"/>
      <color theme="1"/>
      <name val="Noto Sans KR"/>
      <family val="2"/>
      <charset val="128"/>
    </font>
    <font>
      <sz val="10"/>
      <color theme="1"/>
      <name val="Noto Sans KR"/>
      <family val="2"/>
      <charset val="129"/>
    </font>
    <font>
      <sz val="10"/>
      <color theme="1"/>
      <name val="Noto Sans KR"/>
      <family val="2"/>
      <charset val="128"/>
    </font>
    <font>
      <sz val="10"/>
      <color rgb="FFFF0000"/>
      <name val="KoPub돋움체 Bold"/>
      <family val="3"/>
      <charset val="129"/>
    </font>
    <font>
      <sz val="10"/>
      <color theme="1"/>
      <name val="KoPub돋움체 Bold"/>
      <family val="3"/>
      <charset val="129"/>
    </font>
    <font>
      <sz val="9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1"/>
      <color rgb="FF585858"/>
      <name val="NotoSansKR"/>
      <family val="2"/>
    </font>
    <font>
      <sz val="11"/>
      <color rgb="FF00000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rgb="FFE4E7EB"/>
      </patternFill>
    </fill>
    <fill>
      <patternFill patternType="solid">
        <fgColor rgb="FFD6D6D6"/>
        <bgColor indexed="64"/>
      </patternFill>
    </fill>
    <fill>
      <patternFill patternType="solid">
        <fgColor rgb="FFEFF6E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DFEAF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rgb="FFFFE7D8"/>
        <bgColor indexed="64"/>
      </patternFill>
    </fill>
    <fill>
      <patternFill patternType="solid">
        <fgColor rgb="FFDFE6F7"/>
        <bgColor indexed="64"/>
      </patternFill>
    </fill>
    <fill>
      <patternFill patternType="solid">
        <fgColor rgb="FFEBDEF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</fills>
  <borders count="6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DBDBDB"/>
      </right>
      <top style="thin">
        <color rgb="FFDBDBDB"/>
      </top>
      <bottom style="thin">
        <color rgb="FFDBDBDB"/>
      </bottom>
      <diagonal/>
    </border>
    <border>
      <left/>
      <right style="thin">
        <color rgb="FFD2D5DA"/>
      </right>
      <top/>
      <bottom style="thin">
        <color rgb="FFD2D5D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n">
        <color auto="1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/>
      <diagonal/>
    </border>
    <border>
      <left/>
      <right style="dotted">
        <color rgb="FF000000"/>
      </right>
      <top/>
      <bottom/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dotted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28">
    <xf numFmtId="0" fontId="0" fillId="0" borderId="0">
      <alignment vertical="center"/>
    </xf>
    <xf numFmtId="0" fontId="10" fillId="0" borderId="0"/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177" fontId="12" fillId="0" borderId="0">
      <alignment vertical="center"/>
    </xf>
    <xf numFmtId="0" fontId="10" fillId="0" borderId="0"/>
    <xf numFmtId="0" fontId="4" fillId="0" borderId="0">
      <alignment vertical="center"/>
    </xf>
    <xf numFmtId="177" fontId="12" fillId="0" borderId="0">
      <alignment vertical="center"/>
    </xf>
    <xf numFmtId="0" fontId="13" fillId="0" borderId="0">
      <alignment vertical="center"/>
    </xf>
    <xf numFmtId="0" fontId="14" fillId="0" borderId="0" applyFont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5" fillId="0" borderId="0"/>
    <xf numFmtId="0" fontId="13" fillId="0" borderId="0">
      <alignment vertical="center"/>
    </xf>
    <xf numFmtId="0" fontId="10" fillId="0" borderId="0"/>
    <xf numFmtId="0" fontId="16" fillId="0" borderId="0">
      <alignment vertical="center"/>
    </xf>
    <xf numFmtId="0" fontId="7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5" fillId="0" borderId="0"/>
    <xf numFmtId="0" fontId="11" fillId="0" borderId="0">
      <alignment vertical="center"/>
    </xf>
    <xf numFmtId="0" fontId="19" fillId="0" borderId="0">
      <alignment vertical="center"/>
    </xf>
    <xf numFmtId="0" fontId="25" fillId="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11" fillId="8" borderId="9" applyNumberFormat="0" applyFon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</cellStyleXfs>
  <cellXfs count="416">
    <xf numFmtId="0" fontId="0" fillId="0" borderId="0" xfId="0">
      <alignment vertical="center"/>
    </xf>
    <xf numFmtId="15" fontId="8" fillId="0" borderId="0" xfId="0" applyNumberFormat="1" applyFont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  <xf numFmtId="0" fontId="3" fillId="0" borderId="0" xfId="0" applyFont="1" applyAlignment="1">
      <alignment vertical="center"/>
    </xf>
    <xf numFmtId="178" fontId="3" fillId="0" borderId="0" xfId="0" applyNumberFormat="1" applyFont="1">
      <alignment vertical="center"/>
    </xf>
    <xf numFmtId="2" fontId="3" fillId="0" borderId="0" xfId="1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0" xfId="0">
      <alignment vertical="center"/>
    </xf>
    <xf numFmtId="181" fontId="3" fillId="0" borderId="0" xfId="0" applyNumberFormat="1" applyFont="1">
      <alignment vertical="center"/>
    </xf>
    <xf numFmtId="2" fontId="5" fillId="0" borderId="0" xfId="1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176" fontId="3" fillId="0" borderId="0" xfId="0" applyNumberFormat="1" applyFont="1" applyBorder="1" applyAlignment="1">
      <alignment horizontal="center" vertical="center"/>
    </xf>
    <xf numFmtId="182" fontId="0" fillId="0" borderId="0" xfId="0" applyNumberFormat="1">
      <alignment vertical="center"/>
    </xf>
    <xf numFmtId="0" fontId="18" fillId="0" borderId="0" xfId="0" applyFont="1" applyFill="1" applyAlignment="1">
      <alignment horizontal="center" vertical="center"/>
    </xf>
    <xf numFmtId="182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76" fontId="3" fillId="0" borderId="0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180" fontId="0" fillId="0" borderId="1" xfId="2" applyNumberFormat="1" applyFont="1" applyBorder="1">
      <alignment vertical="center"/>
    </xf>
    <xf numFmtId="18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4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0" fillId="0" borderId="0" xfId="0" quotePrefix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4" borderId="1" xfId="0" quotePrefix="1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27" fillId="7" borderId="1" xfId="25" applyBorder="1" applyAlignment="1">
      <alignment horizontal="center" vertical="center"/>
    </xf>
    <xf numFmtId="0" fontId="25" fillId="5" borderId="1" xfId="23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29" fillId="0" borderId="1" xfId="0" applyFont="1" applyBorder="1" applyAlignment="1">
      <alignment horizontal="right" vertical="center"/>
    </xf>
    <xf numFmtId="0" fontId="30" fillId="0" borderId="1" xfId="0" applyFont="1" applyBorder="1" applyAlignment="1">
      <alignment horizontal="right" vertical="center"/>
    </xf>
    <xf numFmtId="4" fontId="0" fillId="0" borderId="1" xfId="0" applyNumberFormat="1" applyBorder="1" applyAlignment="1">
      <alignment horizontal="right"/>
    </xf>
    <xf numFmtId="0" fontId="27" fillId="7" borderId="1" xfId="25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41" fontId="0" fillId="0" borderId="1" xfId="2" applyFont="1" applyBorder="1" applyAlignment="1">
      <alignment horizontal="center" vertical="center"/>
    </xf>
    <xf numFmtId="0" fontId="0" fillId="8" borderId="9" xfId="26" applyFont="1" applyAlignment="1">
      <alignment horizontal="center" vertical="center"/>
    </xf>
    <xf numFmtId="3" fontId="0" fillId="0" borderId="0" xfId="0" applyNumberFormat="1" applyFill="1" applyBorder="1" applyAlignment="1">
      <alignment horizontal="right"/>
    </xf>
    <xf numFmtId="0" fontId="34" fillId="9" borderId="1" xfId="0" applyFont="1" applyFill="1" applyBorder="1" applyAlignment="1">
      <alignment horizontal="center" vertical="center" wrapText="1"/>
    </xf>
    <xf numFmtId="0" fontId="35" fillId="9" borderId="1" xfId="0" applyFont="1" applyFill="1" applyBorder="1" applyAlignment="1">
      <alignment horizontal="center" vertical="center" wrapText="1"/>
    </xf>
    <xf numFmtId="3" fontId="40" fillId="0" borderId="1" xfId="0" applyNumberFormat="1" applyFont="1" applyBorder="1" applyAlignment="1">
      <alignment horizontal="right" wrapText="1"/>
    </xf>
    <xf numFmtId="3" fontId="41" fillId="0" borderId="1" xfId="0" applyNumberFormat="1" applyFont="1" applyBorder="1" applyAlignment="1">
      <alignment horizontal="right" wrapText="1"/>
    </xf>
    <xf numFmtId="182" fontId="38" fillId="0" borderId="1" xfId="0" applyNumberFormat="1" applyFont="1" applyBorder="1" applyAlignment="1">
      <alignment horizontal="right" vertical="center" wrapText="1"/>
    </xf>
    <xf numFmtId="0" fontId="33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justify" vertical="center" wrapText="1"/>
    </xf>
    <xf numFmtId="0" fontId="40" fillId="0" borderId="1" xfId="0" applyFont="1" applyBorder="1" applyAlignment="1">
      <alignment horizontal="right" wrapText="1"/>
    </xf>
    <xf numFmtId="1" fontId="41" fillId="0" borderId="1" xfId="0" applyNumberFormat="1" applyFont="1" applyBorder="1" applyAlignment="1">
      <alignment horizontal="right" wrapText="1"/>
    </xf>
    <xf numFmtId="0" fontId="33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vertical="center" wrapText="1"/>
    </xf>
    <xf numFmtId="182" fontId="42" fillId="0" borderId="1" xfId="0" applyNumberFormat="1" applyFont="1" applyBorder="1" applyAlignment="1">
      <alignment horizontal="right" vertical="center" wrapText="1"/>
    </xf>
    <xf numFmtId="0" fontId="0" fillId="8" borderId="9" xfId="26" applyFont="1" applyAlignment="1">
      <alignment horizontal="center" vertical="center" shrinkToFit="1"/>
    </xf>
    <xf numFmtId="0" fontId="32" fillId="0" borderId="1" xfId="0" applyFont="1" applyBorder="1" applyAlignment="1">
      <alignment horizontal="right" vertical="center"/>
    </xf>
    <xf numFmtId="41" fontId="29" fillId="0" borderId="1" xfId="2" applyFont="1" applyBorder="1" applyAlignment="1">
      <alignment horizontal="right" vertical="center"/>
    </xf>
    <xf numFmtId="0" fontId="0" fillId="0" borderId="0" xfId="0">
      <alignment vertical="center"/>
    </xf>
    <xf numFmtId="0" fontId="45" fillId="2" borderId="1" xfId="0" applyFont="1" applyFill="1" applyBorder="1" applyAlignment="1">
      <alignment horizontal="center" vertical="center" wrapText="1"/>
    </xf>
    <xf numFmtId="182" fontId="46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49" fontId="29" fillId="0" borderId="0" xfId="0" applyNumberFormat="1" applyFont="1" applyBorder="1" applyAlignment="1">
      <alignment horizontal="left" vertical="center" wrapText="1"/>
    </xf>
    <xf numFmtId="0" fontId="29" fillId="0" borderId="0" xfId="0" applyFont="1" applyBorder="1" applyAlignment="1">
      <alignment horizontal="right" vertical="center"/>
    </xf>
    <xf numFmtId="180" fontId="7" fillId="0" borderId="4" xfId="2" applyNumberFormat="1" applyFont="1" applyBorder="1" applyAlignment="1">
      <alignment vertical="center" wrapText="1"/>
    </xf>
    <xf numFmtId="0" fontId="51" fillId="9" borderId="19" xfId="0" applyFont="1" applyFill="1" applyBorder="1" applyAlignment="1">
      <alignment horizontal="center" vertical="center" wrapText="1"/>
    </xf>
    <xf numFmtId="0" fontId="35" fillId="9" borderId="31" xfId="0" applyFont="1" applyFill="1" applyBorder="1" applyAlignment="1">
      <alignment horizontal="center" vertical="center" wrapText="1"/>
    </xf>
    <xf numFmtId="0" fontId="35" fillId="9" borderId="32" xfId="0" applyFont="1" applyFill="1" applyBorder="1" applyAlignment="1">
      <alignment horizontal="center" vertical="center" wrapText="1"/>
    </xf>
    <xf numFmtId="0" fontId="51" fillId="9" borderId="33" xfId="0" applyFont="1" applyFill="1" applyBorder="1" applyAlignment="1">
      <alignment horizontal="center" vertical="center" wrapText="1"/>
    </xf>
    <xf numFmtId="0" fontId="33" fillId="0" borderId="21" xfId="0" applyFont="1" applyBorder="1" applyAlignment="1">
      <alignment horizontal="center" vertical="center" wrapText="1"/>
    </xf>
    <xf numFmtId="3" fontId="53" fillId="0" borderId="22" xfId="0" applyNumberFormat="1" applyFont="1" applyBorder="1" applyAlignment="1">
      <alignment horizontal="right" vertical="center" wrapText="1"/>
    </xf>
    <xf numFmtId="0" fontId="33" fillId="0" borderId="5" xfId="0" applyFont="1" applyBorder="1" applyAlignment="1">
      <alignment horizontal="center" vertical="center" wrapText="1"/>
    </xf>
    <xf numFmtId="3" fontId="53" fillId="0" borderId="4" xfId="0" applyNumberFormat="1" applyFont="1" applyBorder="1" applyAlignment="1">
      <alignment horizontal="right" vertical="center" wrapText="1"/>
    </xf>
    <xf numFmtId="0" fontId="33" fillId="0" borderId="24" xfId="0" applyFont="1" applyBorder="1" applyAlignment="1">
      <alignment horizontal="center" vertical="center" wrapText="1"/>
    </xf>
    <xf numFmtId="0" fontId="33" fillId="0" borderId="26" xfId="0" applyFont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182" fontId="50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0" fillId="0" borderId="0" xfId="0">
      <alignment vertical="center"/>
    </xf>
    <xf numFmtId="178" fontId="0" fillId="0" borderId="1" xfId="0" applyNumberFormat="1" applyBorder="1" applyAlignment="1">
      <alignment horizontal="right"/>
    </xf>
    <xf numFmtId="0" fontId="0" fillId="12" borderId="1" xfId="0" applyFill="1" applyBorder="1" applyAlignment="1"/>
    <xf numFmtId="0" fontId="0" fillId="0" borderId="0" xfId="0" applyBorder="1" applyAlignment="1">
      <alignment horizontal="center" vertical="center"/>
    </xf>
    <xf numFmtId="0" fontId="0" fillId="13" borderId="10" xfId="0" applyFill="1" applyBorder="1" applyAlignment="1"/>
    <xf numFmtId="0" fontId="0" fillId="13" borderId="1" xfId="0" applyFill="1" applyBorder="1" applyAlignment="1"/>
    <xf numFmtId="178" fontId="0" fillId="0" borderId="0" xfId="0" applyNumberFormat="1" applyBorder="1" applyAlignment="1">
      <alignment horizontal="center" vertical="center"/>
    </xf>
    <xf numFmtId="0" fontId="56" fillId="2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/>
    <xf numFmtId="0" fontId="0" fillId="13" borderId="1" xfId="0" applyFill="1" applyBorder="1" applyAlignment="1">
      <alignment horizontal="left" shrinkToFit="1"/>
    </xf>
    <xf numFmtId="0" fontId="0" fillId="0" borderId="0" xfId="0">
      <alignment vertical="center"/>
    </xf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3" fontId="0" fillId="0" borderId="0" xfId="0" applyNumberFormat="1">
      <alignment vertical="center"/>
    </xf>
    <xf numFmtId="0" fontId="0" fillId="15" borderId="1" xfId="0" applyFill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3" fontId="0" fillId="0" borderId="0" xfId="0" applyNumberFormat="1" applyBorder="1" applyAlignment="1">
      <alignment horizontal="right"/>
    </xf>
    <xf numFmtId="0" fontId="0" fillId="14" borderId="1" xfId="0" applyFont="1" applyFill="1" applyBorder="1" applyAlignment="1">
      <alignment horizontal="center" vertical="center"/>
    </xf>
    <xf numFmtId="0" fontId="0" fillId="16" borderId="1" xfId="0" applyFill="1" applyBorder="1" applyAlignment="1"/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right" vertical="center"/>
    </xf>
    <xf numFmtId="182" fontId="55" fillId="0" borderId="34" xfId="0" applyNumberFormat="1" applyFont="1" applyBorder="1" applyAlignment="1">
      <alignment horizontal="right" vertical="center" wrapText="1"/>
    </xf>
    <xf numFmtId="176" fontId="3" fillId="0" borderId="0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0" fillId="0" borderId="0" xfId="0">
      <alignment vertical="center"/>
    </xf>
    <xf numFmtId="182" fontId="27" fillId="7" borderId="0" xfId="25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right" shrinkToFit="1"/>
    </xf>
    <xf numFmtId="3" fontId="0" fillId="0" borderId="1" xfId="0" applyNumberFormat="1" applyFill="1" applyBorder="1" applyAlignment="1">
      <alignment horizontal="center" shrinkToFit="1"/>
    </xf>
    <xf numFmtId="180" fontId="0" fillId="0" borderId="1" xfId="2" applyNumberFormat="1" applyFont="1" applyBorder="1" applyAlignment="1">
      <alignment horizontal="center" vertical="center"/>
    </xf>
    <xf numFmtId="3" fontId="58" fillId="0" borderId="1" xfId="0" applyNumberFormat="1" applyFont="1" applyBorder="1" applyAlignment="1">
      <alignment horizontal="right" shrinkToFit="1"/>
    </xf>
    <xf numFmtId="0" fontId="0" fillId="0" borderId="0" xfId="0" applyBorder="1">
      <alignment vertical="center"/>
    </xf>
    <xf numFmtId="180" fontId="0" fillId="0" borderId="0" xfId="2" applyNumberFormat="1" applyFont="1" applyBorder="1">
      <alignment vertical="center"/>
    </xf>
    <xf numFmtId="176" fontId="0" fillId="0" borderId="0" xfId="0" applyNumberFormat="1">
      <alignment vertical="center"/>
    </xf>
    <xf numFmtId="0" fontId="0" fillId="0" borderId="1" xfId="0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2" fontId="0" fillId="0" borderId="1" xfId="0" applyNumberFormat="1" applyBorder="1" applyAlignment="1">
      <alignment horizontal="right" vertical="center"/>
    </xf>
    <xf numFmtId="41" fontId="7" fillId="0" borderId="1" xfId="2" applyFont="1" applyBorder="1" applyAlignment="1">
      <alignment vertical="center" wrapText="1"/>
    </xf>
    <xf numFmtId="41" fontId="61" fillId="0" borderId="4" xfId="2" applyFont="1" applyBorder="1" applyAlignment="1">
      <alignment vertical="center" wrapText="1"/>
    </xf>
    <xf numFmtId="41" fontId="17" fillId="0" borderId="1" xfId="2" applyFont="1" applyBorder="1" applyAlignment="1">
      <alignment vertical="center" wrapText="1"/>
    </xf>
    <xf numFmtId="0" fontId="61" fillId="0" borderId="1" xfId="0" applyFont="1" applyBorder="1" applyAlignment="1">
      <alignment horizontal="center" vertical="center"/>
    </xf>
    <xf numFmtId="182" fontId="62" fillId="0" borderId="1" xfId="0" applyNumberFormat="1" applyFont="1" applyBorder="1" applyAlignment="1">
      <alignment horizontal="center" vertical="center"/>
    </xf>
    <xf numFmtId="182" fontId="7" fillId="0" borderId="1" xfId="0" applyNumberFormat="1" applyFont="1" applyBorder="1">
      <alignment vertical="center"/>
    </xf>
    <xf numFmtId="0" fontId="63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>
      <alignment vertical="center"/>
    </xf>
    <xf numFmtId="178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 shrinkToFit="1"/>
    </xf>
    <xf numFmtId="0" fontId="0" fillId="13" borderId="1" xfId="0" applyFill="1" applyBorder="1" applyAlignment="1">
      <alignment shrinkToFit="1"/>
    </xf>
    <xf numFmtId="0" fontId="0" fillId="13" borderId="0" xfId="0" applyFill="1" applyBorder="1" applyAlignment="1">
      <alignment horizontal="left" shrinkToFit="1"/>
    </xf>
    <xf numFmtId="182" fontId="0" fillId="0" borderId="0" xfId="0" applyNumberForma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3" fontId="64" fillId="0" borderId="22" xfId="0" applyNumberFormat="1" applyFont="1" applyBorder="1" applyAlignment="1">
      <alignment horizontal="right" vertical="center" wrapText="1"/>
    </xf>
    <xf numFmtId="3" fontId="64" fillId="0" borderId="4" xfId="0" applyNumberFormat="1" applyFont="1" applyBorder="1" applyAlignment="1">
      <alignment horizontal="right" vertical="center" wrapText="1"/>
    </xf>
    <xf numFmtId="178" fontId="0" fillId="0" borderId="1" xfId="0" applyNumberFormat="1" applyFill="1" applyBorder="1" applyAlignment="1">
      <alignment horizontal="right"/>
    </xf>
    <xf numFmtId="41" fontId="0" fillId="0" borderId="1" xfId="2" applyFont="1" applyBorder="1" applyAlignment="1">
      <alignment horizontal="right"/>
    </xf>
    <xf numFmtId="41" fontId="0" fillId="0" borderId="1" xfId="2" applyFont="1" applyBorder="1">
      <alignment vertical="center"/>
    </xf>
    <xf numFmtId="3" fontId="0" fillId="0" borderId="1" xfId="0" applyNumberFormat="1" applyFill="1" applyBorder="1" applyAlignment="1">
      <alignment horizontal="right"/>
    </xf>
    <xf numFmtId="0" fontId="0" fillId="16" borderId="1" xfId="0" applyFill="1" applyBorder="1">
      <alignment vertical="center"/>
    </xf>
    <xf numFmtId="3" fontId="0" fillId="16" borderId="1" xfId="0" applyNumberFormat="1" applyFill="1" applyBorder="1">
      <alignment vertical="center"/>
    </xf>
    <xf numFmtId="3" fontId="7" fillId="16" borderId="1" xfId="0" applyNumberFormat="1" applyFont="1" applyFill="1" applyBorder="1">
      <alignment vertical="center"/>
    </xf>
    <xf numFmtId="3" fontId="0" fillId="15" borderId="1" xfId="0" applyNumberFormat="1" applyFill="1" applyBorder="1">
      <alignment vertical="center"/>
    </xf>
    <xf numFmtId="3" fontId="7" fillId="14" borderId="1" xfId="0" applyNumberFormat="1" applyFont="1" applyFill="1" applyBorder="1">
      <alignment vertical="center"/>
    </xf>
    <xf numFmtId="0" fontId="0" fillId="16" borderId="1" xfId="0" applyFill="1" applyBorder="1" applyAlignment="1">
      <alignment horizontal="right"/>
    </xf>
    <xf numFmtId="182" fontId="0" fillId="16" borderId="1" xfId="0" applyNumberFormat="1" applyFill="1" applyBorder="1">
      <alignment vertical="center"/>
    </xf>
    <xf numFmtId="182" fontId="0" fillId="16" borderId="1" xfId="0" applyNumberFormat="1" applyFill="1" applyBorder="1" applyAlignment="1">
      <alignment horizontal="center" vertical="center"/>
    </xf>
    <xf numFmtId="182" fontId="0" fillId="17" borderId="0" xfId="0" applyNumberFormat="1" applyFill="1">
      <alignment vertical="center"/>
    </xf>
    <xf numFmtId="0" fontId="0" fillId="0" borderId="1" xfId="0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3" fontId="58" fillId="0" borderId="0" xfId="27" applyNumberFormat="1" applyBorder="1" applyAlignment="1">
      <alignment horizontal="right"/>
    </xf>
    <xf numFmtId="0" fontId="56" fillId="2" borderId="2" xfId="22" applyFont="1" applyFill="1" applyBorder="1" applyAlignment="1">
      <alignment horizontal="center" vertical="center" wrapText="1"/>
    </xf>
    <xf numFmtId="0" fontId="56" fillId="2" borderId="2" xfId="22" quotePrefix="1" applyFont="1" applyFill="1" applyBorder="1" applyAlignment="1">
      <alignment horizontal="center" vertical="center" wrapText="1"/>
    </xf>
    <xf numFmtId="0" fontId="19" fillId="0" borderId="0" xfId="22">
      <alignment vertical="center"/>
    </xf>
    <xf numFmtId="49" fontId="66" fillId="0" borderId="3" xfId="22" applyNumberFormat="1" applyFont="1" applyBorder="1" applyAlignment="1">
      <alignment horizontal="left" vertical="center"/>
    </xf>
    <xf numFmtId="49" fontId="66" fillId="0" borderId="3" xfId="22" applyNumberFormat="1" applyFont="1" applyBorder="1" applyAlignment="1">
      <alignment horizontal="left" vertical="center" wrapText="1"/>
    </xf>
    <xf numFmtId="49" fontId="66" fillId="0" borderId="3" xfId="22" applyNumberFormat="1" applyFont="1" applyBorder="1" applyAlignment="1">
      <alignment horizontal="center" vertical="center"/>
    </xf>
    <xf numFmtId="0" fontId="66" fillId="0" borderId="3" xfId="22" applyFont="1" applyBorder="1" applyAlignment="1">
      <alignment horizontal="right" vertical="center"/>
    </xf>
    <xf numFmtId="0" fontId="67" fillId="0" borderId="0" xfId="22" applyFont="1" applyAlignment="1">
      <alignment horizontal="center" vertical="center"/>
    </xf>
    <xf numFmtId="182" fontId="19" fillId="0" borderId="0" xfId="22" applyNumberFormat="1">
      <alignment vertical="center"/>
    </xf>
    <xf numFmtId="0" fontId="70" fillId="19" borderId="6" xfId="0" applyFont="1" applyFill="1" applyBorder="1" applyAlignment="1">
      <alignment horizontal="center" vertical="center" wrapText="1"/>
    </xf>
    <xf numFmtId="0" fontId="71" fillId="19" borderId="35" xfId="0" applyFont="1" applyFill="1" applyBorder="1" applyAlignment="1">
      <alignment horizontal="center" vertical="center" wrapText="1"/>
    </xf>
    <xf numFmtId="4" fontId="70" fillId="20" borderId="41" xfId="0" applyNumberFormat="1" applyFont="1" applyFill="1" applyBorder="1" applyAlignment="1">
      <alignment horizontal="right" vertical="center" wrapText="1"/>
    </xf>
    <xf numFmtId="0" fontId="70" fillId="20" borderId="42" xfId="0" applyFont="1" applyFill="1" applyBorder="1" applyAlignment="1">
      <alignment horizontal="right" vertical="center" wrapText="1"/>
    </xf>
    <xf numFmtId="4" fontId="70" fillId="21" borderId="41" xfId="0" applyNumberFormat="1" applyFont="1" applyFill="1" applyBorder="1" applyAlignment="1">
      <alignment horizontal="right" vertical="center" wrapText="1"/>
    </xf>
    <xf numFmtId="4" fontId="73" fillId="21" borderId="41" xfId="0" applyNumberFormat="1" applyFont="1" applyFill="1" applyBorder="1" applyAlignment="1">
      <alignment horizontal="right" vertical="center" wrapText="1"/>
    </xf>
    <xf numFmtId="0" fontId="73" fillId="21" borderId="42" xfId="0" applyFont="1" applyFill="1" applyBorder="1" applyAlignment="1">
      <alignment horizontal="right" vertical="center" wrapText="1"/>
    </xf>
    <xf numFmtId="0" fontId="44" fillId="0" borderId="16" xfId="0" applyFont="1" applyBorder="1" applyAlignment="1">
      <alignment horizontal="center" vertical="center" wrapText="1"/>
    </xf>
    <xf numFmtId="4" fontId="37" fillId="22" borderId="4" xfId="0" applyNumberFormat="1" applyFont="1" applyFill="1" applyBorder="1" applyAlignment="1">
      <alignment horizontal="right" vertical="center" wrapText="1"/>
    </xf>
    <xf numFmtId="4" fontId="74" fillId="22" borderId="4" xfId="0" applyNumberFormat="1" applyFont="1" applyFill="1" applyBorder="1" applyAlignment="1">
      <alignment horizontal="right" vertical="center" wrapText="1"/>
    </xf>
    <xf numFmtId="0" fontId="74" fillId="22" borderId="18" xfId="0" applyFont="1" applyFill="1" applyBorder="1" applyAlignment="1">
      <alignment horizontal="right" vertical="center" wrapText="1"/>
    </xf>
    <xf numFmtId="0" fontId="37" fillId="0" borderId="13" xfId="0" applyFont="1" applyBorder="1" applyAlignment="1">
      <alignment horizontal="justify" vertical="center" wrapText="1"/>
    </xf>
    <xf numFmtId="0" fontId="74" fillId="0" borderId="47" xfId="0" applyFont="1" applyBorder="1" applyAlignment="1">
      <alignment horizontal="right" vertical="center" wrapText="1"/>
    </xf>
    <xf numFmtId="0" fontId="74" fillId="0" borderId="48" xfId="0" applyFont="1" applyBorder="1" applyAlignment="1">
      <alignment horizontal="right" vertical="center" wrapText="1"/>
    </xf>
    <xf numFmtId="0" fontId="37" fillId="0" borderId="14" xfId="0" applyFont="1" applyBorder="1" applyAlignment="1">
      <alignment horizontal="justify" vertical="center" wrapText="1"/>
    </xf>
    <xf numFmtId="0" fontId="74" fillId="0" borderId="49" xfId="0" applyFont="1" applyBorder="1" applyAlignment="1">
      <alignment horizontal="right" vertical="center" wrapText="1"/>
    </xf>
    <xf numFmtId="0" fontId="74" fillId="0" borderId="50" xfId="0" applyFont="1" applyBorder="1" applyAlignment="1">
      <alignment horizontal="right" vertical="center" wrapText="1"/>
    </xf>
    <xf numFmtId="0" fontId="37" fillId="0" borderId="15" xfId="0" applyFont="1" applyBorder="1" applyAlignment="1">
      <alignment horizontal="justify" vertical="center" wrapText="1"/>
    </xf>
    <xf numFmtId="0" fontId="74" fillId="0" borderId="51" xfId="0" applyFont="1" applyBorder="1" applyAlignment="1">
      <alignment horizontal="right" vertical="center" wrapText="1"/>
    </xf>
    <xf numFmtId="0" fontId="74" fillId="0" borderId="52" xfId="0" applyFont="1" applyBorder="1" applyAlignment="1">
      <alignment horizontal="right" vertical="center" wrapText="1"/>
    </xf>
    <xf numFmtId="0" fontId="44" fillId="0" borderId="27" xfId="0" applyFont="1" applyBorder="1" applyAlignment="1">
      <alignment horizontal="center" vertical="center" wrapText="1"/>
    </xf>
    <xf numFmtId="0" fontId="74" fillId="22" borderId="4" xfId="0" applyFont="1" applyFill="1" applyBorder="1" applyAlignment="1">
      <alignment horizontal="right" vertical="center" wrapText="1"/>
    </xf>
    <xf numFmtId="0" fontId="37" fillId="22" borderId="43" xfId="0" applyFont="1" applyFill="1" applyBorder="1" applyAlignment="1">
      <alignment horizontal="right" vertical="center" wrapText="1"/>
    </xf>
    <xf numFmtId="0" fontId="75" fillId="0" borderId="49" xfId="0" applyFont="1" applyBorder="1" applyAlignment="1">
      <alignment horizontal="right" vertical="center" wrapText="1"/>
    </xf>
    <xf numFmtId="0" fontId="75" fillId="0" borderId="50" xfId="0" applyFont="1" applyBorder="1" applyAlignment="1">
      <alignment horizontal="right" vertical="center" wrapText="1"/>
    </xf>
    <xf numFmtId="0" fontId="75" fillId="0" borderId="51" xfId="0" applyFont="1" applyBorder="1" applyAlignment="1">
      <alignment horizontal="right" vertical="center" wrapText="1"/>
    </xf>
    <xf numFmtId="0" fontId="75" fillId="0" borderId="53" xfId="0" applyFont="1" applyBorder="1" applyAlignment="1">
      <alignment horizontal="right" vertical="center" wrapText="1"/>
    </xf>
    <xf numFmtId="0" fontId="70" fillId="21" borderId="42" xfId="0" applyFont="1" applyFill="1" applyBorder="1" applyAlignment="1">
      <alignment horizontal="right" vertical="center" wrapText="1"/>
    </xf>
    <xf numFmtId="4" fontId="37" fillId="22" borderId="54" xfId="0" applyNumberFormat="1" applyFont="1" applyFill="1" applyBorder="1" applyAlignment="1">
      <alignment horizontal="right" vertical="center" wrapText="1"/>
    </xf>
    <xf numFmtId="0" fontId="37" fillId="0" borderId="47" xfId="0" applyFont="1" applyBorder="1" applyAlignment="1">
      <alignment horizontal="right" vertical="center" wrapText="1"/>
    </xf>
    <xf numFmtId="0" fontId="74" fillId="0" borderId="4" xfId="0" applyFont="1" applyBorder="1" applyAlignment="1">
      <alignment horizontal="right" vertical="center" wrapText="1"/>
    </xf>
    <xf numFmtId="0" fontId="37" fillId="0" borderId="4" xfId="0" applyFont="1" applyBorder="1" applyAlignment="1">
      <alignment horizontal="right" vertical="center" wrapText="1"/>
    </xf>
    <xf numFmtId="0" fontId="74" fillId="0" borderId="43" xfId="0" applyFont="1" applyBorder="1" applyAlignment="1">
      <alignment horizontal="right" vertical="center" wrapText="1"/>
    </xf>
    <xf numFmtId="0" fontId="37" fillId="0" borderId="43" xfId="0" applyFont="1" applyBorder="1" applyAlignment="1">
      <alignment horizontal="right" vertical="center" wrapText="1"/>
    </xf>
    <xf numFmtId="0" fontId="76" fillId="0" borderId="0" xfId="0" applyFont="1" applyAlignment="1">
      <alignment horizontal="justify" vertical="center"/>
    </xf>
    <xf numFmtId="0" fontId="26" fillId="6" borderId="1" xfId="24" applyBorder="1" applyAlignment="1">
      <alignment horizontal="center" vertical="center"/>
    </xf>
    <xf numFmtId="0" fontId="0" fillId="0" borderId="0" xfId="0" applyFill="1" applyBorder="1">
      <alignment vertical="center"/>
    </xf>
    <xf numFmtId="0" fontId="44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37" fillId="0" borderId="0" xfId="0" applyFont="1" applyFill="1" applyBorder="1" applyAlignment="1">
      <alignment horizontal="center" vertical="center" wrapText="1"/>
    </xf>
    <xf numFmtId="0" fontId="37" fillId="0" borderId="0" xfId="0" applyFont="1" applyFill="1" applyBorder="1" applyAlignment="1">
      <alignment horizontal="right" vertical="center" wrapText="1"/>
    </xf>
    <xf numFmtId="10" fontId="37" fillId="0" borderId="0" xfId="0" applyNumberFormat="1" applyFont="1" applyFill="1" applyBorder="1" applyAlignment="1">
      <alignment horizontal="right" vertical="center" wrapText="1"/>
    </xf>
    <xf numFmtId="49" fontId="29" fillId="0" borderId="1" xfId="0" applyNumberFormat="1" applyFont="1" applyBorder="1" applyAlignment="1">
      <alignment horizontal="left" vertical="center" wrapText="1"/>
    </xf>
    <xf numFmtId="49" fontId="49" fillId="0" borderId="1" xfId="0" applyNumberFormat="1" applyFont="1" applyBorder="1" applyAlignment="1">
      <alignment horizontal="left" vertical="center" wrapText="1"/>
    </xf>
    <xf numFmtId="49" fontId="46" fillId="11" borderId="1" xfId="0" applyNumberFormat="1" applyFont="1" applyFill="1" applyBorder="1" applyAlignment="1">
      <alignment horizontal="left" vertical="center" wrapText="1"/>
    </xf>
    <xf numFmtId="182" fontId="29" fillId="0" borderId="1" xfId="0" applyNumberFormat="1" applyFont="1" applyBorder="1" applyAlignment="1">
      <alignment horizontal="right" vertical="center"/>
    </xf>
    <xf numFmtId="183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2" fontId="58" fillId="0" borderId="1" xfId="0" applyNumberFormat="1" applyFont="1" applyBorder="1" applyAlignment="1">
      <alignment horizontal="right" vertical="center"/>
    </xf>
    <xf numFmtId="182" fontId="78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41" fontId="7" fillId="0" borderId="4" xfId="2" applyFont="1" applyBorder="1" applyAlignment="1">
      <alignment vertical="center" wrapText="1"/>
    </xf>
    <xf numFmtId="0" fontId="7" fillId="0" borderId="0" xfId="0" applyFont="1">
      <alignment vertical="center"/>
    </xf>
    <xf numFmtId="41" fontId="61" fillId="0" borderId="0" xfId="2" applyFont="1" applyFill="1" applyBorder="1" applyAlignment="1">
      <alignment vertical="center" wrapText="1"/>
    </xf>
    <xf numFmtId="41" fontId="61" fillId="0" borderId="1" xfId="2" applyFont="1" applyBorder="1" applyAlignment="1">
      <alignment vertical="center" wrapText="1"/>
    </xf>
    <xf numFmtId="41" fontId="61" fillId="0" borderId="1" xfId="2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49" fontId="79" fillId="10" borderId="1" xfId="0" applyNumberFormat="1" applyFont="1" applyFill="1" applyBorder="1" applyAlignment="1">
      <alignment horizontal="left" vertical="center" wrapText="1"/>
    </xf>
    <xf numFmtId="0" fontId="80" fillId="2" borderId="1" xfId="0" applyFont="1" applyFill="1" applyBorder="1" applyAlignment="1">
      <alignment horizontal="center" vertical="center" wrapText="1"/>
    </xf>
    <xf numFmtId="49" fontId="80" fillId="0" borderId="1" xfId="0" applyNumberFormat="1" applyFont="1" applyBorder="1" applyAlignment="1">
      <alignment horizontal="left" vertical="center" wrapText="1"/>
    </xf>
    <xf numFmtId="0" fontId="80" fillId="0" borderId="1" xfId="0" applyFont="1" applyBorder="1" applyAlignment="1">
      <alignment horizontal="right" vertical="center"/>
    </xf>
    <xf numFmtId="2" fontId="80" fillId="0" borderId="1" xfId="0" applyNumberFormat="1" applyFont="1" applyBorder="1" applyAlignment="1">
      <alignment horizontal="right" vertical="center"/>
    </xf>
    <xf numFmtId="182" fontId="81" fillId="0" borderId="1" xfId="0" applyNumberFormat="1" applyFont="1" applyBorder="1" applyAlignment="1">
      <alignment horizontal="right" vertical="center"/>
    </xf>
    <xf numFmtId="182" fontId="80" fillId="0" borderId="1" xfId="0" applyNumberFormat="1" applyFont="1" applyBorder="1" applyAlignment="1">
      <alignment horizontal="right" vertical="center"/>
    </xf>
    <xf numFmtId="182" fontId="80" fillId="0" borderId="1" xfId="0" applyNumberFormat="1" applyFont="1" applyFill="1" applyBorder="1" applyAlignment="1">
      <alignment horizontal="right" vertical="center"/>
    </xf>
    <xf numFmtId="182" fontId="0" fillId="0" borderId="1" xfId="0" applyNumberFormat="1" applyFont="1" applyBorder="1">
      <alignment vertical="center"/>
    </xf>
    <xf numFmtId="0" fontId="82" fillId="2" borderId="1" xfId="0" applyFont="1" applyFill="1" applyBorder="1" applyAlignment="1">
      <alignment horizontal="center" vertical="center" wrapText="1"/>
    </xf>
    <xf numFmtId="0" fontId="82" fillId="0" borderId="1" xfId="0" applyFont="1" applyBorder="1" applyAlignment="1">
      <alignment horizontal="right" vertical="center"/>
    </xf>
    <xf numFmtId="2" fontId="16" fillId="0" borderId="1" xfId="0" applyNumberFormat="1" applyFont="1" applyBorder="1">
      <alignment vertical="center"/>
    </xf>
    <xf numFmtId="2" fontId="82" fillId="0" borderId="1" xfId="0" applyNumberFormat="1" applyFont="1" applyFill="1" applyBorder="1" applyAlignment="1">
      <alignment horizontal="right" vertical="center"/>
    </xf>
    <xf numFmtId="182" fontId="83" fillId="0" borderId="1" xfId="0" applyNumberFormat="1" applyFont="1" applyBorder="1" applyAlignment="1">
      <alignment horizontal="right" vertical="center"/>
    </xf>
    <xf numFmtId="182" fontId="82" fillId="0" borderId="1" xfId="0" applyNumberFormat="1" applyFont="1" applyBorder="1" applyAlignment="1">
      <alignment horizontal="right" vertical="center"/>
    </xf>
    <xf numFmtId="0" fontId="47" fillId="9" borderId="1" xfId="0" quotePrefix="1" applyFont="1" applyFill="1" applyBorder="1" applyAlignment="1">
      <alignment horizontal="center" vertical="center" wrapText="1"/>
    </xf>
    <xf numFmtId="0" fontId="47" fillId="9" borderId="1" xfId="0" applyFont="1" applyFill="1" applyBorder="1" applyAlignment="1">
      <alignment horizontal="center" vertical="center" wrapText="1"/>
    </xf>
    <xf numFmtId="182" fontId="48" fillId="0" borderId="1" xfId="0" applyNumberFormat="1" applyFont="1" applyBorder="1" applyAlignment="1">
      <alignment horizontal="center" wrapText="1"/>
    </xf>
    <xf numFmtId="0" fontId="4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7" fillId="7" borderId="1" xfId="25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32" fillId="0" borderId="49" xfId="0" applyFont="1" applyBorder="1" applyAlignment="1">
      <alignment horizontal="right" vertical="center" wrapText="1"/>
    </xf>
    <xf numFmtId="0" fontId="32" fillId="0" borderId="57" xfId="0" applyFont="1" applyBorder="1" applyAlignment="1">
      <alignment horizontal="right" vertical="center" wrapText="1"/>
    </xf>
    <xf numFmtId="0" fontId="63" fillId="0" borderId="49" xfId="0" applyFont="1" applyBorder="1" applyAlignment="1">
      <alignment horizontal="right" vertical="center" wrapText="1"/>
    </xf>
    <xf numFmtId="0" fontId="63" fillId="0" borderId="57" xfId="0" applyFont="1" applyBorder="1" applyAlignment="1">
      <alignment horizontal="right" vertical="center" wrapText="1"/>
    </xf>
    <xf numFmtId="0" fontId="84" fillId="0" borderId="1" xfId="0" applyFont="1" applyBorder="1" applyAlignment="1">
      <alignment horizontal="justify" vertical="center" wrapText="1"/>
    </xf>
    <xf numFmtId="0" fontId="18" fillId="0" borderId="1" xfId="0" applyFont="1" applyFill="1" applyBorder="1" applyAlignment="1">
      <alignment horizontal="center" vertical="center"/>
    </xf>
    <xf numFmtId="18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85" fillId="0" borderId="1" xfId="0" applyFont="1" applyBorder="1" applyAlignment="1">
      <alignment horizontal="justify" vertical="center" wrapText="1"/>
    </xf>
    <xf numFmtId="178" fontId="0" fillId="0" borderId="11" xfId="0" applyNumberFormat="1" applyFill="1" applyBorder="1" applyAlignment="1">
      <alignment horizontal="right"/>
    </xf>
    <xf numFmtId="41" fontId="0" fillId="0" borderId="0" xfId="2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2" fontId="0" fillId="0" borderId="11" xfId="0" applyNumberFormat="1" applyFill="1" applyBorder="1">
      <alignment vertical="center"/>
    </xf>
    <xf numFmtId="41" fontId="0" fillId="0" borderId="1" xfId="2" applyFont="1" applyFill="1" applyBorder="1">
      <alignment vertical="center"/>
    </xf>
    <xf numFmtId="0" fontId="0" fillId="23" borderId="10" xfId="0" applyFill="1" applyBorder="1" applyAlignment="1"/>
    <xf numFmtId="178" fontId="0" fillId="23" borderId="1" xfId="0" applyNumberFormat="1" applyFill="1" applyBorder="1" applyAlignment="1">
      <alignment horizontal="right"/>
    </xf>
    <xf numFmtId="178" fontId="0" fillId="17" borderId="1" xfId="0" applyNumberFormat="1" applyFill="1" applyBorder="1" applyAlignment="1">
      <alignment horizontal="right"/>
    </xf>
    <xf numFmtId="0" fontId="43" fillId="4" borderId="1" xfId="0" applyFont="1" applyFill="1" applyBorder="1" applyAlignment="1">
      <alignment horizontal="center" vertical="center" wrapText="1"/>
    </xf>
    <xf numFmtId="178" fontId="26" fillId="6" borderId="1" xfId="24" applyNumberFormat="1" applyBorder="1" applyAlignment="1">
      <alignment horizontal="right"/>
    </xf>
    <xf numFmtId="178" fontId="11" fillId="0" borderId="1" xfId="24" applyNumberFormat="1" applyFont="1" applyFill="1" applyBorder="1" applyAlignment="1">
      <alignment horizontal="right"/>
    </xf>
    <xf numFmtId="2" fontId="0" fillId="0" borderId="0" xfId="0" applyNumberFormat="1">
      <alignment vertical="center"/>
    </xf>
    <xf numFmtId="0" fontId="0" fillId="18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13" borderId="58" xfId="0" applyFill="1" applyBorder="1" applyAlignment="1"/>
    <xf numFmtId="0" fontId="0" fillId="0" borderId="0" xfId="0" applyFill="1" applyAlignment="1">
      <alignment vertical="center"/>
    </xf>
    <xf numFmtId="3" fontId="86" fillId="0" borderId="6" xfId="0" applyNumberFormat="1" applyFont="1" applyBorder="1" applyAlignment="1">
      <alignment horizontal="center" vertical="center" wrapText="1"/>
    </xf>
    <xf numFmtId="3" fontId="86" fillId="0" borderId="7" xfId="0" applyNumberFormat="1" applyFont="1" applyBorder="1" applyAlignment="1">
      <alignment horizontal="center" vertical="center" wrapText="1"/>
    </xf>
    <xf numFmtId="3" fontId="87" fillId="0" borderId="7" xfId="0" applyNumberFormat="1" applyFont="1" applyBorder="1" applyAlignment="1">
      <alignment horizontal="center" vertical="center" wrapText="1"/>
    </xf>
    <xf numFmtId="3" fontId="87" fillId="0" borderId="61" xfId="0" applyNumberFormat="1" applyFont="1" applyBorder="1" applyAlignment="1">
      <alignment horizontal="center" vertical="center" wrapText="1"/>
    </xf>
    <xf numFmtId="0" fontId="86" fillId="0" borderId="6" xfId="0" applyFont="1" applyBorder="1" applyAlignment="1">
      <alignment horizontal="right" vertical="center" wrapText="1"/>
    </xf>
    <xf numFmtId="0" fontId="86" fillId="0" borderId="7" xfId="0" applyFont="1" applyBorder="1" applyAlignment="1">
      <alignment horizontal="right" vertical="center" wrapText="1"/>
    </xf>
    <xf numFmtId="0" fontId="87" fillId="0" borderId="61" xfId="0" applyFont="1" applyBorder="1" applyAlignment="1">
      <alignment horizontal="right" vertical="center" wrapText="1"/>
    </xf>
    <xf numFmtId="0" fontId="32" fillId="24" borderId="61" xfId="0" applyFont="1" applyFill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0" fontId="63" fillId="24" borderId="62" xfId="0" applyFont="1" applyFill="1" applyBorder="1" applyAlignment="1">
      <alignment horizontal="center" vertical="center" wrapText="1"/>
    </xf>
    <xf numFmtId="0" fontId="32" fillId="24" borderId="4" xfId="0" applyFont="1" applyFill="1" applyBorder="1" applyAlignment="1">
      <alignment horizontal="center" vertical="center" wrapText="1"/>
    </xf>
    <xf numFmtId="0" fontId="63" fillId="24" borderId="4" xfId="0" applyFont="1" applyFill="1" applyBorder="1" applyAlignment="1">
      <alignment horizontal="center" vertical="center" wrapText="1"/>
    </xf>
    <xf numFmtId="3" fontId="32" fillId="0" borderId="4" xfId="0" applyNumberFormat="1" applyFont="1" applyBorder="1" applyAlignment="1">
      <alignment horizontal="center" vertical="center" wrapText="1"/>
    </xf>
    <xf numFmtId="0" fontId="0" fillId="0" borderId="61" xfId="0" applyBorder="1" applyAlignment="1">
      <alignment vertical="center" wrapText="1"/>
    </xf>
    <xf numFmtId="0" fontId="63" fillId="24" borderId="43" xfId="0" applyFont="1" applyFill="1" applyBorder="1" applyAlignment="1">
      <alignment horizontal="center" vertical="center" wrapText="1"/>
    </xf>
    <xf numFmtId="0" fontId="32" fillId="24" borderId="6" xfId="0" applyFont="1" applyFill="1" applyBorder="1" applyAlignment="1">
      <alignment horizontal="center" vertical="center" wrapText="1"/>
    </xf>
    <xf numFmtId="0" fontId="32" fillId="17" borderId="61" xfId="0" applyFont="1" applyFill="1" applyBorder="1" applyAlignment="1">
      <alignment horizontal="center" vertical="center" wrapText="1"/>
    </xf>
    <xf numFmtId="3" fontId="63" fillId="24" borderId="43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41" fontId="32" fillId="0" borderId="4" xfId="2" applyFont="1" applyBorder="1" applyAlignment="1">
      <alignment horizontal="center" vertical="center" wrapText="1"/>
    </xf>
    <xf numFmtId="41" fontId="63" fillId="24" borderId="43" xfId="2" applyFont="1" applyFill="1" applyBorder="1" applyAlignment="1">
      <alignment horizontal="center" vertical="center" wrapText="1"/>
    </xf>
    <xf numFmtId="0" fontId="32" fillId="17" borderId="6" xfId="0" applyFont="1" applyFill="1" applyBorder="1" applyAlignment="1">
      <alignment horizontal="center" vertical="center" wrapText="1"/>
    </xf>
    <xf numFmtId="0" fontId="32" fillId="17" borderId="7" xfId="0" applyFont="1" applyFill="1" applyBorder="1" applyAlignment="1">
      <alignment horizontal="center" vertical="center" wrapText="1"/>
    </xf>
    <xf numFmtId="0" fontId="0" fillId="17" borderId="61" xfId="0" applyFill="1" applyBorder="1" applyAlignment="1">
      <alignment vertical="center" wrapText="1"/>
    </xf>
    <xf numFmtId="3" fontId="32" fillId="25" borderId="4" xfId="0" applyNumberFormat="1" applyFont="1" applyFill="1" applyBorder="1" applyAlignment="1">
      <alignment horizontal="center" vertical="center" wrapText="1"/>
    </xf>
    <xf numFmtId="3" fontId="63" fillId="0" borderId="4" xfId="0" applyNumberFormat="1" applyFont="1" applyBorder="1" applyAlignment="1">
      <alignment horizontal="center" vertical="center" wrapText="1"/>
    </xf>
    <xf numFmtId="0" fontId="32" fillId="25" borderId="4" xfId="0" applyFont="1" applyFill="1" applyBorder="1" applyAlignment="1">
      <alignment horizontal="center" vertical="center" wrapText="1"/>
    </xf>
    <xf numFmtId="0" fontId="63" fillId="0" borderId="4" xfId="0" applyFont="1" applyBorder="1" applyAlignment="1">
      <alignment horizontal="center" vertical="center" wrapText="1"/>
    </xf>
    <xf numFmtId="4" fontId="63" fillId="0" borderId="4" xfId="0" applyNumberFormat="1" applyFont="1" applyBorder="1" applyAlignment="1">
      <alignment horizontal="center" vertical="center" wrapText="1"/>
    </xf>
    <xf numFmtId="0" fontId="32" fillId="24" borderId="30" xfId="0" applyFont="1" applyFill="1" applyBorder="1" applyAlignment="1">
      <alignment horizontal="center" vertical="center" wrapText="1"/>
    </xf>
    <xf numFmtId="43" fontId="0" fillId="0" borderId="0" xfId="0" applyNumberFormat="1">
      <alignment vertical="center"/>
    </xf>
    <xf numFmtId="179" fontId="0" fillId="0" borderId="0" xfId="0" applyNumberFormat="1">
      <alignment vertical="center"/>
    </xf>
    <xf numFmtId="2" fontId="27" fillId="7" borderId="1" xfId="25" applyNumberFormat="1" applyBorder="1">
      <alignment vertical="center"/>
    </xf>
    <xf numFmtId="182" fontId="26" fillId="6" borderId="60" xfId="24" applyNumberFormat="1" applyBorder="1" applyAlignment="1">
      <alignment horizontal="right" vertical="center"/>
    </xf>
    <xf numFmtId="4" fontId="27" fillId="7" borderId="1" xfId="25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8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41" fontId="0" fillId="0" borderId="1" xfId="2" applyFont="1" applyFill="1" applyBorder="1" applyAlignment="1">
      <alignment horizontal="center" vertical="center"/>
    </xf>
    <xf numFmtId="0" fontId="32" fillId="0" borderId="11" xfId="0" applyFont="1" applyFill="1" applyBorder="1" applyAlignment="1">
      <alignment horizontal="right" vertical="center"/>
    </xf>
    <xf numFmtId="41" fontId="29" fillId="0" borderId="11" xfId="2" applyFont="1" applyFill="1" applyBorder="1" applyAlignment="1">
      <alignment horizontal="right" vertical="center"/>
    </xf>
    <xf numFmtId="41" fontId="29" fillId="0" borderId="60" xfId="2" applyFont="1" applyFill="1" applyBorder="1" applyAlignment="1">
      <alignment horizontal="right" vertical="center"/>
    </xf>
    <xf numFmtId="184" fontId="7" fillId="0" borderId="4" xfId="2" applyNumberFormat="1" applyFont="1" applyBorder="1" applyAlignment="1">
      <alignment vertical="center" wrapText="1"/>
    </xf>
    <xf numFmtId="184" fontId="0" fillId="0" borderId="0" xfId="0" applyNumberFormat="1">
      <alignment vertical="center"/>
    </xf>
    <xf numFmtId="31" fontId="80" fillId="2" borderId="1" xfId="0" applyNumberFormat="1" applyFont="1" applyFill="1" applyBorder="1" applyAlignment="1">
      <alignment horizontal="center" vertical="center" wrapText="1"/>
    </xf>
    <xf numFmtId="0" fontId="66" fillId="0" borderId="3" xfId="0" applyFont="1" applyBorder="1" applyAlignment="1">
      <alignment horizontal="right" vertical="center"/>
    </xf>
    <xf numFmtId="176" fontId="66" fillId="0" borderId="3" xfId="0" applyNumberFormat="1" applyFont="1" applyBorder="1" applyAlignment="1">
      <alignment horizontal="right" vertical="center"/>
    </xf>
    <xf numFmtId="184" fontId="0" fillId="0" borderId="1" xfId="0" applyNumberFormat="1" applyFont="1" applyBorder="1">
      <alignment vertical="center"/>
    </xf>
    <xf numFmtId="184" fontId="66" fillId="0" borderId="3" xfId="0" applyNumberFormat="1" applyFont="1" applyBorder="1" applyAlignment="1">
      <alignment horizontal="right" vertical="center"/>
    </xf>
    <xf numFmtId="0" fontId="44" fillId="0" borderId="27" xfId="0" applyFont="1" applyBorder="1" applyAlignment="1">
      <alignment horizontal="center" vertical="center" wrapText="1"/>
    </xf>
    <xf numFmtId="0" fontId="44" fillId="0" borderId="55" xfId="0" applyFont="1" applyBorder="1" applyAlignment="1">
      <alignment horizontal="center" vertical="center" wrapText="1"/>
    </xf>
    <xf numFmtId="0" fontId="37" fillId="0" borderId="43" xfId="0" applyFont="1" applyBorder="1" applyAlignment="1">
      <alignment horizontal="center" vertical="center" wrapText="1"/>
    </xf>
    <xf numFmtId="0" fontId="37" fillId="0" borderId="5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44" fillId="0" borderId="25" xfId="0" applyFont="1" applyBorder="1" applyAlignment="1">
      <alignment horizontal="center" vertical="center" wrapText="1"/>
    </xf>
    <xf numFmtId="0" fontId="37" fillId="0" borderId="44" xfId="0" applyFont="1" applyBorder="1" applyAlignment="1">
      <alignment horizontal="center" vertical="center" wrapText="1"/>
    </xf>
    <xf numFmtId="0" fontId="37" fillId="0" borderId="45" xfId="0" applyFont="1" applyBorder="1" applyAlignment="1">
      <alignment horizontal="center" vertical="center" wrapText="1"/>
    </xf>
    <xf numFmtId="0" fontId="37" fillId="0" borderId="56" xfId="0" applyFont="1" applyBorder="1" applyAlignment="1">
      <alignment horizontal="center" vertical="center" wrapText="1"/>
    </xf>
    <xf numFmtId="0" fontId="70" fillId="21" borderId="38" xfId="0" applyFont="1" applyFill="1" applyBorder="1" applyAlignment="1">
      <alignment horizontal="center" vertical="center" wrapText="1"/>
    </xf>
    <xf numFmtId="0" fontId="70" fillId="21" borderId="39" xfId="0" applyFont="1" applyFill="1" applyBorder="1" applyAlignment="1">
      <alignment horizontal="center" vertical="center" wrapText="1"/>
    </xf>
    <xf numFmtId="0" fontId="70" fillId="21" borderId="40" xfId="0" applyFont="1" applyFill="1" applyBorder="1" applyAlignment="1">
      <alignment horizontal="center" vertical="center" wrapText="1"/>
    </xf>
    <xf numFmtId="0" fontId="37" fillId="22" borderId="18" xfId="0" applyFont="1" applyFill="1" applyBorder="1" applyAlignment="1">
      <alignment horizontal="center" vertical="center" wrapText="1"/>
    </xf>
    <xf numFmtId="0" fontId="37" fillId="22" borderId="20" xfId="0" applyFont="1" applyFill="1" applyBorder="1" applyAlignment="1">
      <alignment horizontal="center" vertical="center" wrapText="1"/>
    </xf>
    <xf numFmtId="0" fontId="37" fillId="0" borderId="46" xfId="0" applyFont="1" applyBorder="1" applyAlignment="1">
      <alignment horizontal="center" vertical="center" wrapText="1"/>
    </xf>
    <xf numFmtId="0" fontId="37" fillId="22" borderId="43" xfId="0" applyFont="1" applyFill="1" applyBorder="1" applyAlignment="1">
      <alignment horizontal="center" vertical="center" wrapText="1"/>
    </xf>
    <xf numFmtId="0" fontId="37" fillId="22" borderId="5" xfId="0" applyFont="1" applyFill="1" applyBorder="1" applyAlignment="1">
      <alignment horizontal="center" vertical="center" wrapText="1"/>
    </xf>
    <xf numFmtId="0" fontId="70" fillId="19" borderId="31" xfId="0" applyFont="1" applyFill="1" applyBorder="1" applyAlignment="1">
      <alignment horizontal="center" vertical="center" wrapText="1"/>
    </xf>
    <xf numFmtId="0" fontId="70" fillId="19" borderId="36" xfId="0" applyFont="1" applyFill="1" applyBorder="1" applyAlignment="1">
      <alignment horizontal="center" vertical="center" wrapText="1"/>
    </xf>
    <xf numFmtId="0" fontId="77" fillId="0" borderId="8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69" fillId="19" borderId="23" xfId="0" applyFont="1" applyFill="1" applyBorder="1" applyAlignment="1">
      <alignment horizontal="center" vertical="center" wrapText="1"/>
    </xf>
    <xf numFmtId="0" fontId="69" fillId="19" borderId="24" xfId="0" applyFont="1" applyFill="1" applyBorder="1" applyAlignment="1">
      <alignment horizontal="center" vertical="center" wrapText="1"/>
    </xf>
    <xf numFmtId="0" fontId="69" fillId="19" borderId="25" xfId="0" applyFont="1" applyFill="1" applyBorder="1" applyAlignment="1">
      <alignment horizontal="center" vertical="center" wrapText="1"/>
    </xf>
    <xf numFmtId="0" fontId="69" fillId="19" borderId="26" xfId="0" applyFont="1" applyFill="1" applyBorder="1" applyAlignment="1">
      <alignment horizontal="center" vertical="center" wrapText="1"/>
    </xf>
    <xf numFmtId="0" fontId="70" fillId="20" borderId="38" xfId="0" applyFont="1" applyFill="1" applyBorder="1" applyAlignment="1">
      <alignment horizontal="center" vertical="center" wrapText="1"/>
    </xf>
    <xf numFmtId="0" fontId="70" fillId="20" borderId="39" xfId="0" applyFont="1" applyFill="1" applyBorder="1" applyAlignment="1">
      <alignment horizontal="center" vertical="center" wrapText="1"/>
    </xf>
    <xf numFmtId="0" fontId="70" fillId="20" borderId="4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0" fontId="32" fillId="0" borderId="61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right" vertical="center" wrapText="1"/>
    </xf>
    <xf numFmtId="0" fontId="32" fillId="24" borderId="6" xfId="0" applyFont="1" applyFill="1" applyBorder="1" applyAlignment="1">
      <alignment horizontal="center" vertical="center" wrapText="1"/>
    </xf>
    <xf numFmtId="0" fontId="32" fillId="24" borderId="61" xfId="0" applyFont="1" applyFill="1" applyBorder="1" applyAlignment="1">
      <alignment horizontal="center" vertical="center" wrapText="1"/>
    </xf>
    <xf numFmtId="0" fontId="32" fillId="17" borderId="6" xfId="0" applyFont="1" applyFill="1" applyBorder="1" applyAlignment="1">
      <alignment horizontal="center" vertical="center" wrapText="1"/>
    </xf>
    <xf numFmtId="0" fontId="32" fillId="17" borderId="7" xfId="0" applyFont="1" applyFill="1" applyBorder="1" applyAlignment="1">
      <alignment horizontal="center" vertical="center" wrapText="1"/>
    </xf>
    <xf numFmtId="0" fontId="32" fillId="17" borderId="61" xfId="0" applyFont="1" applyFill="1" applyBorder="1" applyAlignment="1">
      <alignment horizontal="center" vertical="center" wrapText="1"/>
    </xf>
    <xf numFmtId="0" fontId="63" fillId="24" borderId="64" xfId="0" applyFont="1" applyFill="1" applyBorder="1" applyAlignment="1">
      <alignment horizontal="center" vertical="center" wrapText="1"/>
    </xf>
    <xf numFmtId="0" fontId="63" fillId="24" borderId="65" xfId="0" applyFont="1" applyFill="1" applyBorder="1" applyAlignment="1">
      <alignment horizontal="center" vertical="center" wrapText="1"/>
    </xf>
    <xf numFmtId="0" fontId="63" fillId="24" borderId="1" xfId="0" applyFont="1" applyFill="1" applyBorder="1" applyAlignment="1">
      <alignment horizontal="center" vertical="center" wrapText="1"/>
    </xf>
    <xf numFmtId="0" fontId="32" fillId="0" borderId="24" xfId="0" applyFont="1" applyBorder="1" applyAlignment="1">
      <alignment horizontal="center" vertical="center" wrapText="1"/>
    </xf>
    <xf numFmtId="0" fontId="32" fillId="0" borderId="55" xfId="0" applyFont="1" applyBorder="1" applyAlignment="1">
      <alignment horizontal="center" vertical="center" wrapText="1"/>
    </xf>
    <xf numFmtId="0" fontId="32" fillId="24" borderId="24" xfId="0" applyFont="1" applyFill="1" applyBorder="1" applyAlignment="1">
      <alignment horizontal="center" vertical="center" wrapText="1"/>
    </xf>
    <xf numFmtId="0" fontId="32" fillId="24" borderId="55" xfId="0" applyFont="1" applyFill="1" applyBorder="1" applyAlignment="1">
      <alignment horizontal="center" vertical="center" wrapText="1"/>
    </xf>
    <xf numFmtId="0" fontId="63" fillId="24" borderId="43" xfId="0" applyFont="1" applyFill="1" applyBorder="1" applyAlignment="1">
      <alignment horizontal="center" vertical="center" wrapText="1"/>
    </xf>
    <xf numFmtId="0" fontId="63" fillId="24" borderId="63" xfId="0" applyFont="1" applyFill="1" applyBorder="1" applyAlignment="1">
      <alignment horizontal="center" vertical="center" wrapText="1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8" borderId="37" xfId="0" applyFill="1" applyBorder="1" applyAlignment="1">
      <alignment horizontal="center" vertical="center"/>
    </xf>
    <xf numFmtId="0" fontId="33" fillId="9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justify" vertical="center" wrapText="1"/>
    </xf>
    <xf numFmtId="0" fontId="33" fillId="9" borderId="10" xfId="0" quotePrefix="1" applyFont="1" applyFill="1" applyBorder="1" applyAlignment="1">
      <alignment horizontal="center" vertical="center" wrapText="1"/>
    </xf>
    <xf numFmtId="0" fontId="33" fillId="9" borderId="11" xfId="0" quotePrefix="1" applyFont="1" applyFill="1" applyBorder="1" applyAlignment="1">
      <alignment horizontal="center" vertical="center" wrapText="1"/>
    </xf>
    <xf numFmtId="0" fontId="33" fillId="9" borderId="12" xfId="0" quotePrefix="1" applyFont="1" applyFill="1" applyBorder="1" applyAlignment="1">
      <alignment horizontal="center" vertical="center" wrapText="1"/>
    </xf>
    <xf numFmtId="182" fontId="55" fillId="0" borderId="31" xfId="0" applyNumberFormat="1" applyFont="1" applyBorder="1" applyAlignment="1">
      <alignment horizontal="right" vertical="center" wrapText="1"/>
    </xf>
    <xf numFmtId="182" fontId="55" fillId="0" borderId="36" xfId="0" applyNumberFormat="1" applyFont="1" applyBorder="1" applyAlignment="1">
      <alignment horizontal="right" vertical="center" wrapText="1"/>
    </xf>
    <xf numFmtId="0" fontId="33" fillId="9" borderId="16" xfId="0" applyFont="1" applyFill="1" applyBorder="1" applyAlignment="1">
      <alignment horizontal="center" vertical="center" wrapText="1"/>
    </xf>
    <xf numFmtId="0" fontId="33" fillId="9" borderId="27" xfId="0" applyFont="1" applyFill="1" applyBorder="1" applyAlignment="1">
      <alignment horizontal="center" vertical="center" wrapText="1"/>
    </xf>
    <xf numFmtId="0" fontId="33" fillId="9" borderId="17" xfId="0" applyFont="1" applyFill="1" applyBorder="1" applyAlignment="1">
      <alignment horizontal="center" vertical="center" wrapText="1"/>
    </xf>
    <xf numFmtId="0" fontId="33" fillId="9" borderId="28" xfId="0" quotePrefix="1" applyFont="1" applyFill="1" applyBorder="1" applyAlignment="1">
      <alignment horizontal="center" vertical="center" wrapText="1"/>
    </xf>
    <xf numFmtId="0" fontId="33" fillId="9" borderId="7" xfId="0" applyFont="1" applyFill="1" applyBorder="1" applyAlignment="1">
      <alignment horizontal="center" vertical="center" wrapText="1"/>
    </xf>
    <xf numFmtId="0" fontId="33" fillId="9" borderId="29" xfId="0" quotePrefix="1" applyFont="1" applyFill="1" applyBorder="1" applyAlignment="1">
      <alignment horizontal="center" vertical="center" wrapText="1"/>
    </xf>
    <xf numFmtId="0" fontId="33" fillId="9" borderId="30" xfId="0" applyFont="1" applyFill="1" applyBorder="1" applyAlignment="1">
      <alignment horizontal="center" vertical="center" wrapText="1"/>
    </xf>
    <xf numFmtId="3" fontId="53" fillId="0" borderId="6" xfId="0" applyNumberFormat="1" applyFont="1" applyBorder="1" applyAlignment="1">
      <alignment horizontal="right" vertical="center" wrapText="1"/>
    </xf>
    <xf numFmtId="3" fontId="53" fillId="0" borderId="35" xfId="0" applyNumberFormat="1" applyFont="1" applyBorder="1" applyAlignment="1">
      <alignment horizontal="right" vertical="center" wrapText="1"/>
    </xf>
    <xf numFmtId="41" fontId="54" fillId="0" borderId="6" xfId="2" applyFont="1" applyBorder="1" applyAlignment="1">
      <alignment horizontal="right" vertical="center" wrapText="1"/>
    </xf>
    <xf numFmtId="41" fontId="54" fillId="0" borderId="35" xfId="2" applyFont="1" applyBorder="1" applyAlignment="1">
      <alignment horizontal="right" vertical="center" wrapText="1"/>
    </xf>
    <xf numFmtId="0" fontId="63" fillId="0" borderId="1" xfId="0" applyFont="1" applyBorder="1" applyAlignment="1">
      <alignment horizontal="center" vertical="center" wrapText="1"/>
    </xf>
    <xf numFmtId="0" fontId="63" fillId="0" borderId="10" xfId="0" applyFont="1" applyBorder="1" applyAlignment="1">
      <alignment horizontal="center" vertical="center" wrapText="1"/>
    </xf>
    <xf numFmtId="0" fontId="63" fillId="0" borderId="11" xfId="0" applyFont="1" applyBorder="1" applyAlignment="1">
      <alignment horizontal="center" vertical="center" wrapText="1"/>
    </xf>
    <xf numFmtId="0" fontId="63" fillId="0" borderId="12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7" fillId="9" borderId="1" xfId="0" applyFont="1" applyFill="1" applyBorder="1" applyAlignment="1">
      <alignment horizontal="center" vertical="center" wrapText="1"/>
    </xf>
  </cellXfs>
  <cellStyles count="28">
    <cellStyle name="Normal_Chart 1.1 - Bank Rate and one day forward curves (updated)" xfId="5" xr:uid="{00000000-0005-0000-0000-000000000000}"/>
    <cellStyle name="Normal_Section 1 Data for the web  " xfId="1" xr:uid="{00000000-0005-0000-0000-000001000000}"/>
    <cellStyle name="경고문" xfId="27" builtinId="11"/>
    <cellStyle name="나쁨" xfId="24" builtinId="27"/>
    <cellStyle name="메모" xfId="26" builtinId="10"/>
    <cellStyle name="보통" xfId="25" builtinId="28"/>
    <cellStyle name="쉼표 [0]" xfId="2" builtinId="6"/>
    <cellStyle name="쉼표 [0] 10" xfId="19" xr:uid="{00000000-0005-0000-0000-000007000000}"/>
    <cellStyle name="열어 본 하이퍼링크" xfId="10" builtinId="9" customBuiltin="1"/>
    <cellStyle name="좋음" xfId="23" builtinId="26"/>
    <cellStyle name="표준" xfId="0" builtinId="0"/>
    <cellStyle name="표준 10" xfId="3" xr:uid="{00000000-0005-0000-0000-00000B000000}"/>
    <cellStyle name="표준 10 2" xfId="18" xr:uid="{00000000-0005-0000-0000-00000C000000}"/>
    <cellStyle name="표준 2" xfId="6" xr:uid="{00000000-0005-0000-0000-00000D000000}"/>
    <cellStyle name="표준 2 2" xfId="7" xr:uid="{00000000-0005-0000-0000-00000E000000}"/>
    <cellStyle name="표준 2 3" xfId="12" xr:uid="{00000000-0005-0000-0000-00000F000000}"/>
    <cellStyle name="표준 2 4" xfId="15" xr:uid="{00000000-0005-0000-0000-000010000000}"/>
    <cellStyle name="표준 2 5" xfId="16" xr:uid="{00000000-0005-0000-0000-000011000000}"/>
    <cellStyle name="표준 2 6" xfId="20" xr:uid="{00000000-0005-0000-0000-000012000000}"/>
    <cellStyle name="표준 22" xfId="9" xr:uid="{00000000-0005-0000-0000-000013000000}"/>
    <cellStyle name="표준 29" xfId="8" xr:uid="{00000000-0005-0000-0000-000014000000}"/>
    <cellStyle name="표준 3" xfId="13" xr:uid="{00000000-0005-0000-0000-000015000000}"/>
    <cellStyle name="표준 3 2" xfId="14" xr:uid="{00000000-0005-0000-0000-000016000000}"/>
    <cellStyle name="표준 34" xfId="4" xr:uid="{00000000-0005-0000-0000-000017000000}"/>
    <cellStyle name="표준 39 2 2 8 2 2" xfId="21" xr:uid="{00000000-0005-0000-0000-000018000000}"/>
    <cellStyle name="표준 4" xfId="17" xr:uid="{00000000-0005-0000-0000-000019000000}"/>
    <cellStyle name="표준 5" xfId="22" xr:uid="{00000000-0005-0000-0000-00001A000000}"/>
    <cellStyle name="하이퍼링크 2" xfId="11" xr:uid="{00000000-0005-0000-0000-00001B000000}"/>
  </cellStyles>
  <dxfs count="0"/>
  <tableStyles count="0" defaultTableStyle="TableStyleMedium2" defaultPivotStyle="PivotStyleLight16"/>
  <colors>
    <mruColors>
      <color rgb="FF41719C"/>
      <color rgb="FFFFFFFF"/>
      <color rgb="FF0000FF"/>
      <color rgb="FFDDEBF7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48065533363322E-2"/>
          <c:y val="6.0951553069160481E-2"/>
          <c:w val="0.93890386893327338"/>
          <c:h val="0.853835406875492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 경제성장'!$B$20</c:f>
              <c:strCache>
                <c:ptCount val="1"/>
                <c:pt idx="0">
                  <c:v>전기대비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4.970760669895268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9332565221869263E-2"/>
                      <c:h val="0.1072264087363122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7C31-449E-9483-ABA11021A9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'1. 경제성장'!$B$22:$B$26</c:f>
              <c:numCache>
                <c:formatCode>General</c:formatCode>
                <c:ptCount val="5"/>
                <c:pt idx="0">
                  <c:v>0.6</c:v>
                </c:pt>
                <c:pt idx="1">
                  <c:v>1.4</c:v>
                </c:pt>
                <c:pt idx="2">
                  <c:v>-0.1</c:v>
                </c:pt>
                <c:pt idx="3">
                  <c:v>1.8</c:v>
                </c:pt>
                <c:pt idx="4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9A-4201-9421-51900AC2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4312512"/>
        <c:axId val="2130945200"/>
      </c:barChart>
      <c:lineChart>
        <c:grouping val="standard"/>
        <c:varyColors val="0"/>
        <c:ser>
          <c:idx val="1"/>
          <c:order val="1"/>
          <c:tx>
            <c:strRef>
              <c:f>'1. 경제성장'!$C$20</c:f>
              <c:strCache>
                <c:ptCount val="1"/>
                <c:pt idx="0">
                  <c:v>전년동기대비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1656453000040942E-2"/>
                  <c:y val="2.84043466851158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A51-4238-B170-98C49AAA8BC9}"/>
                </c:ext>
              </c:extLst>
            </c:dLbl>
            <c:dLbl>
              <c:idx val="1"/>
              <c:layout>
                <c:manualLayout>
                  <c:x val="-8.3312906000081784E-3"/>
                  <c:y val="-7.10108667127895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A51-4238-B170-98C49AAA8BC9}"/>
                </c:ext>
              </c:extLst>
            </c:dLbl>
            <c:dLbl>
              <c:idx val="2"/>
              <c:layout>
                <c:manualLayout>
                  <c:x val="-4.7210646733379776E-2"/>
                  <c:y val="-4.26065200276737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A51-4238-B170-98C49AAA8BC9}"/>
                </c:ext>
              </c:extLst>
            </c:dLbl>
            <c:dLbl>
              <c:idx val="3"/>
              <c:layout>
                <c:manualLayout>
                  <c:x val="-4.4433549866710491E-2"/>
                  <c:y val="-5.20746355893790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A51-4238-B170-98C49AAA8B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'1. 경제성장'!$C$22:$C$26</c:f>
              <c:numCache>
                <c:formatCode>#,##0.0_ </c:formatCode>
                <c:ptCount val="5"/>
                <c:pt idx="0">
                  <c:v>0.7</c:v>
                </c:pt>
                <c:pt idx="1">
                  <c:v>2.1</c:v>
                </c:pt>
                <c:pt idx="2" formatCode="0.0_ ">
                  <c:v>1.6</c:v>
                </c:pt>
                <c:pt idx="3" formatCode="0.0_ ">
                  <c:v>3.8</c:v>
                </c:pt>
                <c:pt idx="4" formatCode="0.0_ 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9A-4201-9421-51900AC2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4312512"/>
        <c:axId val="2130945200"/>
      </c:lineChart>
      <c:valAx>
        <c:axId val="2130945200"/>
        <c:scaling>
          <c:orientation val="minMax"/>
          <c:max val="5"/>
        </c:scaling>
        <c:delete val="1"/>
        <c:axPos val="l"/>
        <c:numFmt formatCode="General" sourceLinked="1"/>
        <c:majorTickMark val="out"/>
        <c:minorTickMark val="none"/>
        <c:tickLblPos val="nextTo"/>
        <c:crossAx val="2144312512"/>
        <c:crosses val="autoZero"/>
        <c:crossBetween val="between"/>
        <c:majorUnit val="1"/>
      </c:valAx>
      <c:catAx>
        <c:axId val="2144312512"/>
        <c:scaling>
          <c:orientation val="minMax"/>
        </c:scaling>
        <c:delete val="1"/>
        <c:axPos val="b"/>
        <c:majorTickMark val="out"/>
        <c:minorTickMark val="none"/>
        <c:tickLblPos val="nextTo"/>
        <c:crossAx val="21309452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4.2222805825605753E-2"/>
          <c:y val="8.4586429730181073E-2"/>
          <c:w val="0.46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306082143663951E-2"/>
          <c:y val="0.20852088556195053"/>
          <c:w val="0.85377343064351741"/>
          <c:h val="0.576565328437084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'1.농림어업'!$AF$5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'1.농림어업'!$AN$1:$BB$1</c:f>
              <c:strCache>
                <c:ptCount val="15"/>
                <c:pt idx="0">
                  <c:v>'23.1Q</c:v>
                </c:pt>
                <c:pt idx="1">
                  <c:v>2Q</c:v>
                </c:pt>
                <c:pt idx="2">
                  <c:v>3Q</c:v>
                </c:pt>
                <c:pt idx="3">
                  <c:v>4Q</c:v>
                </c:pt>
                <c:pt idx="4">
                  <c:v>'24.1Q</c:v>
                </c:pt>
                <c:pt idx="5">
                  <c:v>2Q</c:v>
                </c:pt>
                <c:pt idx="6">
                  <c:v>3Q</c:v>
                </c:pt>
                <c:pt idx="7">
                  <c:v>4Q</c:v>
                </c:pt>
                <c:pt idx="8">
                  <c:v>'25.1Q</c:v>
                </c:pt>
                <c:pt idx="9">
                  <c:v>2Q</c:v>
                </c:pt>
                <c:pt idx="10">
                  <c:v>3Q</c:v>
                </c:pt>
                <c:pt idx="11">
                  <c:v>4Q</c:v>
                </c:pt>
                <c:pt idx="12">
                  <c:v>'26.1Q</c:v>
                </c:pt>
                <c:pt idx="13">
                  <c:v>2Q</c:v>
                </c:pt>
                <c:pt idx="14">
                  <c:v>3Q</c:v>
                </c:pt>
              </c:strCache>
            </c:strRef>
          </c:cat>
          <c:val>
            <c:numRef>
              <c:f>'1.농림어업'!$AN$5:$BB$5</c:f>
              <c:numCache>
                <c:formatCode>General</c:formatCode>
                <c:ptCount val="15"/>
                <c:pt idx="0">
                  <c:v>6470.4</c:v>
                </c:pt>
                <c:pt idx="1">
                  <c:v>8218</c:v>
                </c:pt>
                <c:pt idx="2">
                  <c:v>8506.1</c:v>
                </c:pt>
                <c:pt idx="3">
                  <c:v>10045.299999999999</c:v>
                </c:pt>
                <c:pt idx="4">
                  <c:v>6435.2</c:v>
                </c:pt>
                <c:pt idx="5">
                  <c:v>8168.9</c:v>
                </c:pt>
                <c:pt idx="6">
                  <c:v>8555.9</c:v>
                </c:pt>
                <c:pt idx="7">
                  <c:v>10316.5</c:v>
                </c:pt>
                <c:pt idx="8">
                  <c:v>6612.3</c:v>
                </c:pt>
                <c:pt idx="9">
                  <c:v>8059.4</c:v>
                </c:pt>
                <c:pt idx="10">
                  <c:v>8692.2000000000007</c:v>
                </c:pt>
                <c:pt idx="11">
                  <c:v>10263.799999999999</c:v>
                </c:pt>
                <c:pt idx="12">
                  <c:v>6846.1</c:v>
                </c:pt>
                <c:pt idx="13">
                  <c:v>7860.3</c:v>
                </c:pt>
                <c:pt idx="14">
                  <c:v>8830.7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8-4D9D-AAEF-BEDADADC5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0828751"/>
        <c:axId val="650831663"/>
      </c:barChart>
      <c:lineChart>
        <c:grouping val="standard"/>
        <c:varyColors val="0"/>
        <c:ser>
          <c:idx val="1"/>
          <c:order val="1"/>
          <c:tx>
            <c:strRef>
              <c:f>'1.농림어업'!$AF$6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7.445877775916309E-8"/>
                  <c:y val="-3.587396866871463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7356973995271862E-2"/>
                      <c:h val="0.16532137518684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B9F-4593-AA0B-97C764CD59F1}"/>
                </c:ext>
              </c:extLst>
            </c:dLbl>
            <c:dLbl>
              <c:idx val="6"/>
              <c:layout>
                <c:manualLayout>
                  <c:x val="0"/>
                  <c:y val="-1.79372197309417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9F-4593-AA0B-97C764CD59F1}"/>
                </c:ext>
              </c:extLst>
            </c:dLbl>
            <c:dLbl>
              <c:idx val="13"/>
              <c:layout>
                <c:manualLayout>
                  <c:x val="-2.2695035460992909E-2"/>
                  <c:y val="3.58744394618834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9F-4593-AA0B-97C764CD59F1}"/>
                </c:ext>
              </c:extLst>
            </c:dLbl>
            <c:dLbl>
              <c:idx val="14"/>
              <c:spPr>
                <a:noFill/>
                <a:ln>
                  <a:noFill/>
                </a:ln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'1.농림어업'!$AN$1:$BB$1</c:f>
              <c:strCache>
                <c:ptCount val="15"/>
                <c:pt idx="0">
                  <c:v>'23.1Q</c:v>
                </c:pt>
                <c:pt idx="1">
                  <c:v>2Q</c:v>
                </c:pt>
                <c:pt idx="2">
                  <c:v>3Q</c:v>
                </c:pt>
                <c:pt idx="3">
                  <c:v>4Q</c:v>
                </c:pt>
                <c:pt idx="4">
                  <c:v>'24.1Q</c:v>
                </c:pt>
                <c:pt idx="5">
                  <c:v>2Q</c:v>
                </c:pt>
                <c:pt idx="6">
                  <c:v>3Q</c:v>
                </c:pt>
                <c:pt idx="7">
                  <c:v>4Q</c:v>
                </c:pt>
                <c:pt idx="8">
                  <c:v>'25.1Q</c:v>
                </c:pt>
                <c:pt idx="9">
                  <c:v>2Q</c:v>
                </c:pt>
                <c:pt idx="10">
                  <c:v>3Q</c:v>
                </c:pt>
                <c:pt idx="11">
                  <c:v>4Q</c:v>
                </c:pt>
                <c:pt idx="12">
                  <c:v>'26.1Q</c:v>
                </c:pt>
                <c:pt idx="13">
                  <c:v>2Q</c:v>
                </c:pt>
                <c:pt idx="14">
                  <c:v>3Q</c:v>
                </c:pt>
              </c:strCache>
            </c:strRef>
          </c:cat>
          <c:val>
            <c:numRef>
              <c:f>'1.농림어업'!$AN$6:$BB$6</c:f>
              <c:numCache>
                <c:formatCode>0.0</c:formatCode>
                <c:ptCount val="15"/>
                <c:pt idx="0">
                  <c:v>-1.6417365924844947</c:v>
                </c:pt>
                <c:pt idx="1">
                  <c:v>3.224347782397345</c:v>
                </c:pt>
                <c:pt idx="2">
                  <c:v>1.2052636588616159</c:v>
                </c:pt>
                <c:pt idx="3">
                  <c:v>-8.0252339357981288</c:v>
                </c:pt>
                <c:pt idx="4">
                  <c:v>-0.54401582591493292</c:v>
                </c:pt>
                <c:pt idx="5">
                  <c:v>-0.5974689705524503</c:v>
                </c:pt>
                <c:pt idx="6">
                  <c:v>0.58546219771692398</c:v>
                </c:pt>
                <c:pt idx="7">
                  <c:v>2.6997700417110564</c:v>
                </c:pt>
                <c:pt idx="8">
                  <c:v>2.7520512182993593</c:v>
                </c:pt>
                <c:pt idx="9">
                  <c:v>-1.3404497545569172</c:v>
                </c:pt>
                <c:pt idx="10">
                  <c:v>1.5930527472270726</c:v>
                </c:pt>
                <c:pt idx="11">
                  <c:v>-0.51083216207047666</c:v>
                </c:pt>
                <c:pt idx="12">
                  <c:v>3.5358347322414314</c:v>
                </c:pt>
                <c:pt idx="13">
                  <c:v>-2.470407226344386</c:v>
                </c:pt>
                <c:pt idx="14">
                  <c:v>1.5933825728814337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58-4D9D-AAEF-BEDADADC5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936127"/>
        <c:axId val="778950271"/>
      </c:lineChart>
      <c:catAx>
        <c:axId val="65082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100" spc="-1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0831663"/>
        <c:crosses val="autoZero"/>
        <c:auto val="1"/>
        <c:lblAlgn val="ctr"/>
        <c:lblOffset val="100"/>
        <c:noMultiLvlLbl val="0"/>
      </c:catAx>
      <c:valAx>
        <c:axId val="650831663"/>
        <c:scaling>
          <c:orientation val="minMax"/>
          <c:max val="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0828751"/>
        <c:crosses val="autoZero"/>
        <c:crossBetween val="between"/>
        <c:majorUnit val="3000"/>
      </c:valAx>
      <c:valAx>
        <c:axId val="778950271"/>
        <c:scaling>
          <c:orientation val="minMax"/>
          <c:min val="-10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78936127"/>
        <c:crosses val="max"/>
        <c:crossBetween val="between"/>
        <c:majorUnit val="4"/>
      </c:valAx>
      <c:catAx>
        <c:axId val="7789361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789502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0"/>
          <c:w val="0.46406790255952585"/>
          <c:h val="0.202541812318303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0.16093933303963448"/>
          <c:w val="0.93888888888888888"/>
          <c:h val="0.654453621158196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'2. 수출'!$B$18</c:f>
              <c:strCache>
                <c:ptCount val="1"/>
                <c:pt idx="0">
                  <c:v>수출액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수출'!$D$18:$H$18</c:f>
              <c:numCache>
                <c:formatCode>_(* #,##0_);_(* \(#,##0\);_(* "-"_);_(@_)</c:formatCode>
                <c:ptCount val="5"/>
                <c:pt idx="0">
                  <c:v>4676.7533599999997</c:v>
                </c:pt>
                <c:pt idx="1">
                  <c:v>5245.361460000001</c:v>
                </c:pt>
                <c:pt idx="2" formatCode="#,##0">
                  <c:v>4641.0159100000001</c:v>
                </c:pt>
                <c:pt idx="3" formatCode="#,##0">
                  <c:v>5084.6141700000007</c:v>
                </c:pt>
                <c:pt idx="4">
                  <c:v>5198.1638400000002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E-4D3B-B3A7-7ADF6CE366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9922863"/>
        <c:axId val="599922031"/>
      </c:barChart>
      <c:lineChart>
        <c:grouping val="standard"/>
        <c:varyColors val="0"/>
        <c:ser>
          <c:idx val="1"/>
          <c:order val="1"/>
          <c:tx>
            <c:strRef>
              <c:f>'2. 수출'!$B$19</c:f>
              <c:strCache>
                <c:ptCount val="1"/>
                <c:pt idx="0">
                  <c:v>증감률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수출'!$D$107:$H$107</c:f>
              <c:numCache>
                <c:formatCode>0.0_ </c:formatCode>
                <c:ptCount val="5"/>
                <c:pt idx="0">
                  <c:v>13</c:v>
                </c:pt>
                <c:pt idx="1">
                  <c:v>-12</c:v>
                </c:pt>
                <c:pt idx="2">
                  <c:v>10.1</c:v>
                </c:pt>
                <c:pt idx="3">
                  <c:v>2.1</c:v>
                </c:pt>
                <c:pt idx="4">
                  <c:v>57.5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4E-4D3B-B3A7-7ADF6CE366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5262127"/>
        <c:axId val="145263791"/>
      </c:lineChart>
      <c:catAx>
        <c:axId val="599922863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99922031"/>
        <c:crosses val="autoZero"/>
        <c:auto val="1"/>
        <c:lblAlgn val="ctr"/>
        <c:lblOffset val="100"/>
        <c:noMultiLvlLbl val="0"/>
      </c:catAx>
      <c:valAx>
        <c:axId val="599922031"/>
        <c:scaling>
          <c:orientation val="minMax"/>
          <c:max val="6000"/>
          <c:min val="0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99922863"/>
        <c:crosses val="autoZero"/>
        <c:crossBetween val="between"/>
      </c:valAx>
      <c:valAx>
        <c:axId val="145263791"/>
        <c:scaling>
          <c:orientation val="minMax"/>
          <c:max val="30"/>
        </c:scaling>
        <c:delete val="0"/>
        <c:axPos val="r"/>
        <c:numFmt formatCode="0.0_ 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5262127"/>
        <c:crosses val="max"/>
        <c:crossBetween val="between"/>
      </c:valAx>
      <c:catAx>
        <c:axId val="145262127"/>
        <c:scaling>
          <c:orientation val="minMax"/>
        </c:scaling>
        <c:delete val="1"/>
        <c:axPos val="b"/>
        <c:majorTickMark val="out"/>
        <c:minorTickMark val="none"/>
        <c:tickLblPos val="nextTo"/>
        <c:crossAx val="1452637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3.6004352990487161E-2"/>
          <c:y val="2.7817549003788588E-2"/>
          <c:w val="0.38088016460353058"/>
          <c:h val="7.82374041627027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116166680889082E-2"/>
          <c:y val="0.16137169348241071"/>
          <c:w val="0.96088382215040191"/>
          <c:h val="0.72925968738255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'2. 수출'!$B$47</c:f>
              <c:strCache>
                <c:ptCount val="1"/>
                <c:pt idx="0">
                  <c:v>수출액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6755854252124467E-3"/>
                  <c:y val="9.3682844361644493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828999351277461"/>
                      <c:h val="0.102195878363904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AD8B-491D-A57C-F506A5B88D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 수출'!$D$46:$H$46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cat>
          <c:val>
            <c:numRef>
              <c:f>'2. 수출'!$D$47:$H$47</c:f>
              <c:numCache>
                <c:formatCode>_-* #,##0.0_-;\-* #,##0.0_-;_-* "-"_-;_-@_-</c:formatCode>
                <c:ptCount val="5"/>
                <c:pt idx="0">
                  <c:v>45</c:v>
                </c:pt>
                <c:pt idx="1">
                  <c:v>44.7</c:v>
                </c:pt>
                <c:pt idx="2">
                  <c:v>47.7</c:v>
                </c:pt>
                <c:pt idx="3">
                  <c:v>51.6</c:v>
                </c:pt>
                <c:pt idx="4">
                  <c:v>53.8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E9-4901-B321-148A0172F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0100207"/>
        <c:axId val="670778431"/>
      </c:barChart>
      <c:lineChart>
        <c:grouping val="standard"/>
        <c:varyColors val="0"/>
        <c:ser>
          <c:idx val="1"/>
          <c:order val="1"/>
          <c:tx>
            <c:strRef>
              <c:f>'2. 수출'!$B$48</c:f>
              <c:strCache>
                <c:ptCount val="1"/>
                <c:pt idx="0">
                  <c:v>증감률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FFC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6766841375881723E-2"/>
                  <c:y val="0.1082251517185922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AE9-4901-B321-148A0172F43F}"/>
                </c:ext>
              </c:extLst>
            </c:dLbl>
            <c:dLbl>
              <c:idx val="2"/>
              <c:layout>
                <c:manualLayout>
                  <c:x val="-3.788522726602548E-2"/>
                  <c:y val="6.41261242193721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E2-477C-AA7B-4E5CF46F4B57}"/>
                </c:ext>
              </c:extLst>
            </c:dLbl>
            <c:dLbl>
              <c:idx val="3"/>
              <c:layout>
                <c:manualLayout>
                  <c:x val="-5.8752502816128899E-2"/>
                  <c:y val="7.22086662406538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7275070718007219E-2"/>
                      <c:h val="8.699369874014271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D8B-491D-A57C-F506A5B88DD5}"/>
                </c:ext>
              </c:extLst>
            </c:dLbl>
            <c:dLbl>
              <c:idx val="4"/>
              <c:layout>
                <c:manualLayout>
                  <c:x val="-4.2049522585058889E-2"/>
                  <c:y val="-5.619265277105074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8351923224364381E-2"/>
                      <c:h val="0.1339237138550498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7AE9-4901-B321-148A0172F4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 수출'!$D$46:$H$46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cat>
          <c:val>
            <c:numRef>
              <c:f>'2. 수출'!$D$48:$H$48</c:f>
              <c:numCache>
                <c:formatCode>0.0</c:formatCode>
                <c:ptCount val="5"/>
                <c:pt idx="0">
                  <c:v>7.9</c:v>
                </c:pt>
                <c:pt idx="1">
                  <c:v>-0.9</c:v>
                </c:pt>
                <c:pt idx="2">
                  <c:v>6.7</c:v>
                </c:pt>
                <c:pt idx="3">
                  <c:v>8.4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E9-4901-B321-148A0172F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0945119"/>
        <c:axId val="740944703"/>
      </c:lineChart>
      <c:catAx>
        <c:axId val="67010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0778431"/>
        <c:crosses val="autoZero"/>
        <c:auto val="1"/>
        <c:lblAlgn val="ctr"/>
        <c:lblOffset val="100"/>
        <c:noMultiLvlLbl val="0"/>
      </c:catAx>
      <c:valAx>
        <c:axId val="670778431"/>
        <c:scaling>
          <c:orientation val="minMax"/>
        </c:scaling>
        <c:delete val="0"/>
        <c:axPos val="l"/>
        <c:numFmt formatCode="_-* #,##0.0_-;\-* #,##0.0_-;_-* &quot;-&quot;_-;_-@_-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0100207"/>
        <c:crosses val="autoZero"/>
        <c:crossBetween val="between"/>
      </c:valAx>
      <c:valAx>
        <c:axId val="740944703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0945119"/>
        <c:crosses val="max"/>
        <c:crossBetween val="between"/>
      </c:valAx>
      <c:catAx>
        <c:axId val="7409451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09447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1509284337209259E-2"/>
          <c:y val="2.7777664717047436E-2"/>
          <c:w val="0.44920378943073569"/>
          <c:h val="0.106106372120151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9.4297127526346267E-2"/>
          <c:w val="0.93888888888888888"/>
          <c:h val="0.827331688289831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'2. 수출'!$B$18</c:f>
              <c:strCache>
                <c:ptCount val="1"/>
                <c:pt idx="0">
                  <c:v>수출액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2.3032887154268654E-3"/>
                  <c:y val="2.35742818815865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FE-4F88-AC62-7DC0931CD22E}"/>
                </c:ext>
              </c:extLst>
            </c:dLbl>
            <c:dLbl>
              <c:idx val="4"/>
              <c:layout>
                <c:manualLayout>
                  <c:x val="-2.2178734051831179E-3"/>
                  <c:y val="1.1787140940793283E-2"/>
                </c:manualLayout>
              </c:layout>
              <c:spPr>
                <a:noFill/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EFE-4F88-AC62-7DC0931CD2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수출'!$D$106:$H$106</c:f>
              <c:numCache>
                <c:formatCode>0.0_ </c:formatCode>
                <c:ptCount val="5"/>
                <c:pt idx="0">
                  <c:v>1771.1</c:v>
                </c:pt>
                <c:pt idx="1">
                  <c:v>1557.8</c:v>
                </c:pt>
                <c:pt idx="2">
                  <c:v>1715.1</c:v>
                </c:pt>
                <c:pt idx="3">
                  <c:v>1751.3</c:v>
                </c:pt>
                <c:pt idx="4">
                  <c:v>2759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2-4854-B645-06D12D9E975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9922863"/>
        <c:axId val="599922031"/>
      </c:barChart>
      <c:lineChart>
        <c:grouping val="standard"/>
        <c:varyColors val="0"/>
        <c:ser>
          <c:idx val="1"/>
          <c:order val="1"/>
          <c:tx>
            <c:strRef>
              <c:f>'2. 수출'!$B$19</c:f>
              <c:strCache>
                <c:ptCount val="1"/>
                <c:pt idx="0">
                  <c:v>증감률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4"/>
              <c:spPr>
                <a:noFill/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EFE-4F88-AC62-7DC0931CD2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수출'!$D$107:$H$107</c:f>
              <c:numCache>
                <c:formatCode>0.0_ </c:formatCode>
                <c:ptCount val="5"/>
                <c:pt idx="0">
                  <c:v>13</c:v>
                </c:pt>
                <c:pt idx="1">
                  <c:v>-12</c:v>
                </c:pt>
                <c:pt idx="2">
                  <c:v>10.1</c:v>
                </c:pt>
                <c:pt idx="3">
                  <c:v>2.1</c:v>
                </c:pt>
                <c:pt idx="4">
                  <c:v>57.5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D2-4854-B645-06D12D9E975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5262127"/>
        <c:axId val="145263791"/>
      </c:lineChart>
      <c:catAx>
        <c:axId val="599922863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99922031"/>
        <c:crosses val="autoZero"/>
        <c:auto val="1"/>
        <c:lblAlgn val="ctr"/>
        <c:lblOffset val="100"/>
        <c:noMultiLvlLbl val="0"/>
      </c:catAx>
      <c:valAx>
        <c:axId val="599922031"/>
        <c:scaling>
          <c:orientation val="minMax"/>
          <c:max val="3000"/>
          <c:min val="0"/>
        </c:scaling>
        <c:delete val="0"/>
        <c:axPos val="l"/>
        <c:numFmt formatCode="0.0_ 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99922863"/>
        <c:crosses val="autoZero"/>
        <c:crossBetween val="between"/>
      </c:valAx>
      <c:valAx>
        <c:axId val="145263791"/>
        <c:scaling>
          <c:orientation val="minMax"/>
          <c:max val="70"/>
        </c:scaling>
        <c:delete val="0"/>
        <c:axPos val="r"/>
        <c:numFmt formatCode="0.0_ 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5262127"/>
        <c:crosses val="max"/>
        <c:crossBetween val="between"/>
      </c:valAx>
      <c:catAx>
        <c:axId val="145262127"/>
        <c:scaling>
          <c:orientation val="minMax"/>
        </c:scaling>
        <c:delete val="1"/>
        <c:axPos val="b"/>
        <c:majorTickMark val="out"/>
        <c:minorTickMark val="none"/>
        <c:tickLblPos val="nextTo"/>
        <c:crossAx val="1452637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3.6004352990487161E-2"/>
          <c:y val="2.7817549003788588E-2"/>
          <c:w val="0.38088016460353058"/>
          <c:h val="7.82374041627027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소비자심리지수'!$I$5:$Q$5</c:f>
              <c:strCache>
                <c:ptCount val="9"/>
                <c:pt idx="0">
                  <c:v>'25.1월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</c:strCache>
            </c:strRef>
          </c:cat>
          <c:val>
            <c:numRef>
              <c:f>'3. 소비자심리지수'!$I$6:$Q$6</c:f>
              <c:numCache>
                <c:formatCode>General</c:formatCode>
                <c:ptCount val="9"/>
                <c:pt idx="0">
                  <c:v>91.2</c:v>
                </c:pt>
                <c:pt idx="1">
                  <c:v>95.2</c:v>
                </c:pt>
                <c:pt idx="2">
                  <c:v>93.4</c:v>
                </c:pt>
                <c:pt idx="3">
                  <c:v>93.8</c:v>
                </c:pt>
                <c:pt idx="4">
                  <c:v>101.8</c:v>
                </c:pt>
                <c:pt idx="5">
                  <c:v>108.7</c:v>
                </c:pt>
                <c:pt idx="6">
                  <c:v>110.8</c:v>
                </c:pt>
                <c:pt idx="7">
                  <c:v>111.4</c:v>
                </c:pt>
                <c:pt idx="8">
                  <c:v>110.1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55-4639-8BC9-B69497D8896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1403648"/>
        <c:axId val="181405312"/>
      </c:lineChart>
      <c:catAx>
        <c:axId val="18140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5312"/>
        <c:crosses val="autoZero"/>
        <c:auto val="1"/>
        <c:lblAlgn val="ctr"/>
        <c:lblOffset val="100"/>
        <c:noMultiLvlLbl val="0"/>
      </c:catAx>
      <c:valAx>
        <c:axId val="181405312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364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'3.소매판매액월별'!$C$9:$D$9</c:f>
              <c:strCache>
                <c:ptCount val="2"/>
                <c:pt idx="0">
                  <c:v>전월대비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'3.소매판매액월별'!$E$8:$M$8</c:f>
              <c:strCache>
                <c:ptCount val="9"/>
                <c:pt idx="0">
                  <c:v>'25.1월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</c:strCache>
            </c:strRef>
          </c:cat>
          <c:val>
            <c:numRef>
              <c:f>'3.소매판매액월별'!$E$9:$M$9</c:f>
              <c:numCache>
                <c:formatCode>0.0</c:formatCode>
                <c:ptCount val="9"/>
                <c:pt idx="0">
                  <c:v>-0.58765915768853505</c:v>
                </c:pt>
                <c:pt idx="1">
                  <c:v>1.7733990147783225</c:v>
                </c:pt>
                <c:pt idx="2">
                  <c:v>-0.9680542110358179</c:v>
                </c:pt>
                <c:pt idx="3">
                  <c:v>-0.97751710654936463</c:v>
                </c:pt>
                <c:pt idx="4">
                  <c:v>0</c:v>
                </c:pt>
                <c:pt idx="5">
                  <c:v>0.59230009871669154</c:v>
                </c:pt>
                <c:pt idx="6">
                  <c:v>2.7477919528949921</c:v>
                </c:pt>
                <c:pt idx="7">
                  <c:v>-2.3877745940783188</c:v>
                </c:pt>
                <c:pt idx="8">
                  <c:v>-9.7847358121339073E-2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7-4586-82A9-B6C34D191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2711247"/>
        <c:axId val="1332712495"/>
      </c:barChart>
      <c:lineChart>
        <c:grouping val="standard"/>
        <c:varyColors val="0"/>
        <c:ser>
          <c:idx val="1"/>
          <c:order val="1"/>
          <c:tx>
            <c:strRef>
              <c:f>'3.소매판매액월별'!$C$10:$D$10</c:f>
              <c:strCache>
                <c:ptCount val="2"/>
                <c:pt idx="0">
                  <c:v>전년동월대비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'3.소매판매액월별'!$E$8:$M$8</c:f>
              <c:strCache>
                <c:ptCount val="9"/>
                <c:pt idx="0">
                  <c:v>'25.1월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</c:strCache>
            </c:strRef>
          </c:cat>
          <c:val>
            <c:numRef>
              <c:f>'3.소매판매액월별'!$E$10:$M$10</c:f>
              <c:numCache>
                <c:formatCode>0.0</c:formatCode>
                <c:ptCount val="9"/>
                <c:pt idx="0">
                  <c:v>0.19900497512438092</c:v>
                </c:pt>
                <c:pt idx="1">
                  <c:v>-1.7782426778242562</c:v>
                </c:pt>
                <c:pt idx="2">
                  <c:v>0.6796116504854397</c:v>
                </c:pt>
                <c:pt idx="3">
                  <c:v>-9.9502487562183384E-2</c:v>
                </c:pt>
                <c:pt idx="4">
                  <c:v>-0.19120458891012299</c:v>
                </c:pt>
                <c:pt idx="5">
                  <c:v>0.29761904761904484</c:v>
                </c:pt>
                <c:pt idx="6">
                  <c:v>2.4925224327018944</c:v>
                </c:pt>
                <c:pt idx="7">
                  <c:v>-0.40120361083250322</c:v>
                </c:pt>
                <c:pt idx="8">
                  <c:v>2.2136669874879664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F7-4586-82A9-B6C34D191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2714575"/>
        <c:axId val="1332711663"/>
      </c:lineChart>
      <c:catAx>
        <c:axId val="13327112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32712495"/>
        <c:crosses val="autoZero"/>
        <c:auto val="1"/>
        <c:lblAlgn val="ctr"/>
        <c:lblOffset val="100"/>
        <c:noMultiLvlLbl val="0"/>
      </c:catAx>
      <c:valAx>
        <c:axId val="1332712495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332711247"/>
        <c:crosses val="autoZero"/>
        <c:crossBetween val="between"/>
      </c:valAx>
      <c:valAx>
        <c:axId val="1332711663"/>
        <c:scaling>
          <c:orientation val="minMax"/>
          <c:max val="3"/>
        </c:scaling>
        <c:delete val="1"/>
        <c:axPos val="r"/>
        <c:numFmt formatCode="0.0" sourceLinked="1"/>
        <c:majorTickMark val="out"/>
        <c:minorTickMark val="none"/>
        <c:tickLblPos val="nextTo"/>
        <c:crossAx val="1332714575"/>
        <c:crosses val="max"/>
        <c:crossBetween val="between"/>
      </c:valAx>
      <c:catAx>
        <c:axId val="1332714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327116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5555555555555564E-2"/>
          <c:y val="2.7777777777777776E-2"/>
          <c:w val="0.46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'3.소매판매액월별'!$C$37:$D$37</c:f>
              <c:strCache>
                <c:ptCount val="2"/>
                <c:pt idx="0">
                  <c:v>전년동월대비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'3.소매판매액월별'!$Q$31:$V$31</c:f>
              <c:strCache>
                <c:ptCount val="6"/>
                <c:pt idx="0">
                  <c:v>'26.1월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</c:strCache>
            </c:strRef>
          </c:cat>
          <c:val>
            <c:numRef>
              <c:f>'3.소매판매액월별'!$Q$32:$V$32</c:f>
              <c:numCache>
                <c:formatCode>0.0</c:formatCode>
                <c:ptCount val="6"/>
                <c:pt idx="0">
                  <c:v>-0.10764262648009527</c:v>
                </c:pt>
                <c:pt idx="1">
                  <c:v>5.3879310344827589</c:v>
                </c:pt>
                <c:pt idx="2">
                  <c:v>-4.8057259713701468</c:v>
                </c:pt>
                <c:pt idx="3">
                  <c:v>1.0741138560687433</c:v>
                </c:pt>
                <c:pt idx="4">
                  <c:v>0</c:v>
                </c:pt>
                <c:pt idx="5">
                  <c:v>0.6376195536663215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93-4E9B-B47B-FF95B16B5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6851279"/>
        <c:axId val="1796850031"/>
      </c:barChart>
      <c:lineChart>
        <c:grouping val="standard"/>
        <c:varyColors val="0"/>
        <c:ser>
          <c:idx val="1"/>
          <c:order val="1"/>
          <c:tx>
            <c:strRef>
              <c:f>'3.소매판매액월별'!$C$38:$D$38</c:f>
              <c:strCache>
                <c:ptCount val="2"/>
                <c:pt idx="0">
                  <c:v>전년동월대비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'3.소매판매액월별'!$Q$31:$V$31</c:f>
              <c:strCache>
                <c:ptCount val="6"/>
                <c:pt idx="0">
                  <c:v>'26.1월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</c:strCache>
            </c:strRef>
          </c:cat>
          <c:val>
            <c:numRef>
              <c:f>'3.소매판매액월별'!$Q$33:$V$33</c:f>
              <c:numCache>
                <c:formatCode>0.0</c:formatCode>
                <c:ptCount val="6"/>
                <c:pt idx="0">
                  <c:v>-13.481071098799626</c:v>
                </c:pt>
                <c:pt idx="1">
                  <c:v>21.295143212951441</c:v>
                </c:pt>
                <c:pt idx="2">
                  <c:v>-1.2141280353200823</c:v>
                </c:pt>
                <c:pt idx="3">
                  <c:v>0.90497737556560764</c:v>
                </c:pt>
                <c:pt idx="4">
                  <c:v>1.3800424628450076</c:v>
                </c:pt>
                <c:pt idx="5">
                  <c:v>0.99009900990098076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93-4E9B-B47B-FF95B16B5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6849615"/>
        <c:axId val="1796845039"/>
      </c:lineChart>
      <c:catAx>
        <c:axId val="17968512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96850031"/>
        <c:crosses val="autoZero"/>
        <c:auto val="1"/>
        <c:lblAlgn val="ctr"/>
        <c:lblOffset val="100"/>
        <c:noMultiLvlLbl val="0"/>
      </c:catAx>
      <c:valAx>
        <c:axId val="1796850031"/>
        <c:scaling>
          <c:orientation val="minMax"/>
          <c:max val="2"/>
          <c:min val="-1"/>
        </c:scaling>
        <c:delete val="0"/>
        <c:axPos val="l"/>
        <c:numFmt formatCode="0.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96851279"/>
        <c:crosses val="autoZero"/>
        <c:crossBetween val="between"/>
      </c:valAx>
      <c:valAx>
        <c:axId val="1796845039"/>
        <c:scaling>
          <c:orientation val="minMax"/>
          <c:max val="21"/>
          <c:min val="-17"/>
        </c:scaling>
        <c:delete val="0"/>
        <c:axPos val="r"/>
        <c:numFmt formatCode="0.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96849615"/>
        <c:crosses val="max"/>
        <c:crossBetween val="between"/>
      </c:valAx>
      <c:catAx>
        <c:axId val="17968496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968450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4444444444444451E-2"/>
          <c:y val="2.7777777777777776E-2"/>
          <c:w val="0.46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983513919622474E-2"/>
          <c:y val="4.2402414908850675E-2"/>
          <c:w val="0.95503012543214516"/>
          <c:h val="0.902417841700877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'3.소매판매액월별'!$P$37</c:f>
              <c:strCache>
                <c:ptCount val="1"/>
                <c:pt idx="0">
                  <c:v>전기대비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4.6538685282140778E-3"/>
                  <c:y val="3.70374015748032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217-4C68-92E4-6A333BC76FD1}"/>
                </c:ext>
              </c:extLst>
            </c:dLbl>
            <c:dLbl>
              <c:idx val="1"/>
              <c:layout>
                <c:manualLayout>
                  <c:x val="-2.3234251750984436E-3"/>
                  <c:y val="-9.21092284387931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217-4C68-92E4-6A333BC76FD1}"/>
                </c:ext>
              </c:extLst>
            </c:dLbl>
            <c:dLbl>
              <c:idx val="4"/>
              <c:layout>
                <c:manualLayout>
                  <c:x val="1.1638164764873031E-2"/>
                  <c:y val="3.24313405647968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960-4952-8B72-C03684965C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'3.소매판매액월별'!$R$36:$V$36</c:f>
              <c:strCache>
                <c:ptCount val="5"/>
                <c:pt idx="0">
                  <c:v>'25. 2/4</c:v>
                </c:pt>
                <c:pt idx="1">
                  <c:v>'25. 3/4</c:v>
                </c:pt>
                <c:pt idx="2">
                  <c:v>'25. 4/4</c:v>
                </c:pt>
                <c:pt idx="3">
                  <c:v>'26. 1/4</c:v>
                </c:pt>
                <c:pt idx="4">
                  <c:v>'26. 2/4</c:v>
                </c:pt>
              </c:strCache>
            </c:strRef>
          </c:cat>
          <c:val>
            <c:numRef>
              <c:f>'3.소매판매액월별'!$R$37:$V$37</c:f>
              <c:numCache>
                <c:formatCode>General</c:formatCode>
                <c:ptCount val="5"/>
                <c:pt idx="0">
                  <c:v>-0.17</c:v>
                </c:pt>
                <c:pt idx="1">
                  <c:v>-0.8</c:v>
                </c:pt>
                <c:pt idx="2">
                  <c:v>1.1299999999999999</c:v>
                </c:pt>
                <c:pt idx="3">
                  <c:v>0.17</c:v>
                </c:pt>
                <c:pt idx="4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17-4C68-92E4-6A333BC76F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1613472"/>
        <c:axId val="182164816"/>
      </c:barChart>
      <c:lineChart>
        <c:grouping val="standard"/>
        <c:varyColors val="0"/>
        <c:ser>
          <c:idx val="1"/>
          <c:order val="1"/>
          <c:tx>
            <c:strRef>
              <c:f>'3.소매판매액월별'!$P$38</c:f>
              <c:strCache>
                <c:ptCount val="1"/>
                <c:pt idx="0">
                  <c:v>전년동기대비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653162017011131E-2"/>
                  <c:y val="8.3381354109738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17-4C68-92E4-6A333BC76FD1}"/>
                </c:ext>
              </c:extLst>
            </c:dLbl>
            <c:dLbl>
              <c:idx val="1"/>
              <c:layout>
                <c:manualLayout>
                  <c:x val="-5.8173356602676841E-3"/>
                  <c:y val="-2.31479658792650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4554973821989529E-2"/>
                      <c:h val="8.1712962962962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217-4C68-92E4-6A333BC76FD1}"/>
                </c:ext>
              </c:extLst>
            </c:dLbl>
            <c:dLbl>
              <c:idx val="2"/>
              <c:layout>
                <c:manualLayout>
                  <c:x val="-2.7923211169284468E-2"/>
                  <c:y val="5.55555555555554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217-4C68-92E4-6A333BC76FD1}"/>
                </c:ext>
              </c:extLst>
            </c:dLbl>
            <c:dLbl>
              <c:idx val="4"/>
              <c:layout>
                <c:manualLayout>
                  <c:x val="-2.7923211169284638E-2"/>
                  <c:y val="-4.16666666666666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960-4952-8B72-C03684965C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'3.소매판매액월별'!$R$36:$V$36</c:f>
              <c:strCache>
                <c:ptCount val="5"/>
                <c:pt idx="0">
                  <c:v>'25. 2/4</c:v>
                </c:pt>
                <c:pt idx="1">
                  <c:v>'25. 3/4</c:v>
                </c:pt>
                <c:pt idx="2">
                  <c:v>'25. 4/4</c:v>
                </c:pt>
                <c:pt idx="3">
                  <c:v>'26. 1/4</c:v>
                </c:pt>
                <c:pt idx="4">
                  <c:v>'26. 2/4</c:v>
                </c:pt>
              </c:strCache>
            </c:strRef>
          </c:cat>
          <c:val>
            <c:numRef>
              <c:f>'3.소매판매액월별'!$R$38:$V$38</c:f>
              <c:numCache>
                <c:formatCode>General</c:formatCode>
                <c:ptCount val="5"/>
                <c:pt idx="0">
                  <c:v>-0.56999999999999995</c:v>
                </c:pt>
                <c:pt idx="1">
                  <c:v>-2.6</c:v>
                </c:pt>
                <c:pt idx="2">
                  <c:v>0.93</c:v>
                </c:pt>
                <c:pt idx="3">
                  <c:v>2.2000000000000002</c:v>
                </c:pt>
                <c:pt idx="4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17-4C68-92E4-6A333BC76F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21613472"/>
        <c:axId val="182164816"/>
      </c:lineChart>
      <c:catAx>
        <c:axId val="2121613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2164816"/>
        <c:crosses val="autoZero"/>
        <c:auto val="1"/>
        <c:lblAlgn val="ctr"/>
        <c:lblOffset val="100"/>
        <c:noMultiLvlLbl val="0"/>
      </c:catAx>
      <c:valAx>
        <c:axId val="182164816"/>
        <c:scaling>
          <c:orientation val="minMax"/>
          <c:min val="-3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2161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251099072028402E-5"/>
          <c:y val="2.8250679504729589E-2"/>
          <c:w val="0.52267588629530082"/>
          <c:h val="0.103764447278950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 소매판매액 증감률'!$C$14</c:f>
              <c:strCache>
                <c:ptCount val="1"/>
                <c:pt idx="0">
                  <c:v>전기대비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 소매판매액 증감률'!$D$13:$H$13</c:f>
              <c:strCache>
                <c:ptCount val="5"/>
                <c:pt idx="0">
                  <c:v>2024/Q3</c:v>
                </c:pt>
                <c:pt idx="1">
                  <c:v>2024/Q4</c:v>
                </c:pt>
                <c:pt idx="2">
                  <c:v>2025/Q1</c:v>
                </c:pt>
                <c:pt idx="3">
                  <c:v>2025/Q2</c:v>
                </c:pt>
                <c:pt idx="4">
                  <c:v>2025/Q3</c:v>
                </c:pt>
              </c:strCache>
            </c:strRef>
          </c:cat>
          <c:val>
            <c:numRef>
              <c:f>'3. 소매판매액 증감률'!$D$14:$H$14</c:f>
              <c:numCache>
                <c:formatCode>0.0</c:formatCode>
                <c:ptCount val="5"/>
                <c:pt idx="0">
                  <c:v>0.68829891838741675</c:v>
                </c:pt>
                <c:pt idx="1">
                  <c:v>-0.39062500000000555</c:v>
                </c:pt>
                <c:pt idx="2">
                  <c:v>0.39215686274510358</c:v>
                </c:pt>
                <c:pt idx="3">
                  <c:v>-0.87890625000000555</c:v>
                </c:pt>
                <c:pt idx="4">
                  <c:v>1.4778325123152709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4-4C71-B84A-0804ADB37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3715024"/>
        <c:axId val="1043713360"/>
      </c:barChart>
      <c:lineChart>
        <c:grouping val="standard"/>
        <c:varyColors val="0"/>
        <c:ser>
          <c:idx val="1"/>
          <c:order val="1"/>
          <c:tx>
            <c:strRef>
              <c:f>'3. 소매판매액 증감률'!$C$15</c:f>
              <c:strCache>
                <c:ptCount val="1"/>
                <c:pt idx="0">
                  <c:v>전년동기대비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'3. 소매판매액 증감률'!$D$13:$H$13</c:f>
              <c:strCache>
                <c:ptCount val="5"/>
                <c:pt idx="0">
                  <c:v>2024/Q3</c:v>
                </c:pt>
                <c:pt idx="1">
                  <c:v>2024/Q4</c:v>
                </c:pt>
                <c:pt idx="2">
                  <c:v>2025/Q1</c:v>
                </c:pt>
                <c:pt idx="3">
                  <c:v>2025/Q2</c:v>
                </c:pt>
                <c:pt idx="4">
                  <c:v>2025/Q3</c:v>
                </c:pt>
              </c:strCache>
            </c:strRef>
          </c:cat>
          <c:val>
            <c:numRef>
              <c:f>'3. 소매판매액 증감률'!$D$15:$H$15</c:f>
              <c:numCache>
                <c:formatCode>0.0</c:formatCode>
                <c:ptCount val="5"/>
                <c:pt idx="0">
                  <c:v>-1.4591439688715953</c:v>
                </c:pt>
                <c:pt idx="1">
                  <c:v>-1.9662921348314555</c:v>
                </c:pt>
                <c:pt idx="2">
                  <c:v>-0.30090270812437026</c:v>
                </c:pt>
                <c:pt idx="3">
                  <c:v>0</c:v>
                </c:pt>
                <c:pt idx="4">
                  <c:v>1.4807502467917077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24-4C71-B84A-0804ADB37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075871"/>
        <c:axId val="1317074623"/>
      </c:lineChart>
      <c:valAx>
        <c:axId val="1317074623"/>
        <c:scaling>
          <c:orientation val="minMax"/>
          <c:max val="3.5"/>
          <c:min val="-4"/>
        </c:scaling>
        <c:delete val="0"/>
        <c:axPos val="l"/>
        <c:numFmt formatCode="0.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17075871"/>
        <c:crosses val="autoZero"/>
        <c:crossBetween val="between"/>
      </c:valAx>
      <c:catAx>
        <c:axId val="1317075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7074623"/>
        <c:crosses val="autoZero"/>
        <c:auto val="1"/>
        <c:lblAlgn val="ctr"/>
        <c:lblOffset val="100"/>
        <c:noMultiLvlLbl val="0"/>
      </c:catAx>
      <c:valAx>
        <c:axId val="1043713360"/>
        <c:scaling>
          <c:orientation val="minMax"/>
          <c:max val="3"/>
          <c:min val="-4"/>
        </c:scaling>
        <c:delete val="0"/>
        <c:axPos val="r"/>
        <c:numFmt formatCode="0.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715024"/>
        <c:crosses val="max"/>
        <c:crossBetween val="between"/>
      </c:valAx>
      <c:catAx>
        <c:axId val="1043715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3713360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2.8333333333333342E-2"/>
          <c:y val="3.2407407407407406E-2"/>
          <c:w val="0.6164202018489018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0.24307195975503063"/>
          <c:w val="0.9454373042079417"/>
          <c:h val="0.706002114319043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 소매판매액 증감률'!$C$34</c:f>
              <c:strCache>
                <c:ptCount val="1"/>
                <c:pt idx="0">
                  <c:v>전기대비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소매판매액 증감률'!$D$33:$H$33</c:f>
              <c:strCache>
                <c:ptCount val="5"/>
                <c:pt idx="0">
                  <c:v>2024/Q3</c:v>
                </c:pt>
                <c:pt idx="1">
                  <c:v>2024/Q4</c:v>
                </c:pt>
                <c:pt idx="2">
                  <c:v>2025/Q1</c:v>
                </c:pt>
                <c:pt idx="3">
                  <c:v>2025/Q2</c:v>
                </c:pt>
                <c:pt idx="4">
                  <c:v>2025/Q3</c:v>
                </c:pt>
              </c:strCache>
            </c:strRef>
          </c:cat>
          <c:val>
            <c:numRef>
              <c:f>'3. 소매판매액 증감률'!$D$34:$H$34</c:f>
              <c:numCache>
                <c:formatCode>0.0</c:formatCode>
                <c:ptCount val="5"/>
                <c:pt idx="0">
                  <c:v>0.7399577167019058</c:v>
                </c:pt>
                <c:pt idx="1">
                  <c:v>-0.52465897166841557</c:v>
                </c:pt>
                <c:pt idx="2">
                  <c:v>-2.531645569620244</c:v>
                </c:pt>
                <c:pt idx="3">
                  <c:v>1.9480519480519449</c:v>
                </c:pt>
                <c:pt idx="4">
                  <c:v>-2.5477707006369488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9-40A1-87AB-6A8787F1D7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9916479"/>
        <c:axId val="1319916895"/>
      </c:barChart>
      <c:lineChart>
        <c:grouping val="standard"/>
        <c:varyColors val="0"/>
        <c:ser>
          <c:idx val="1"/>
          <c:order val="1"/>
          <c:tx>
            <c:strRef>
              <c:f>'3. 소매판매액 증감률'!$C$35</c:f>
              <c:strCache>
                <c:ptCount val="1"/>
                <c:pt idx="0">
                  <c:v>전년동기대비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소매판매액 증감률'!$D$33:$H$33</c:f>
              <c:strCache>
                <c:ptCount val="5"/>
                <c:pt idx="0">
                  <c:v>2024/Q3</c:v>
                </c:pt>
                <c:pt idx="1">
                  <c:v>2024/Q4</c:v>
                </c:pt>
                <c:pt idx="2">
                  <c:v>2025/Q1</c:v>
                </c:pt>
                <c:pt idx="3">
                  <c:v>2025/Q2</c:v>
                </c:pt>
                <c:pt idx="4">
                  <c:v>2025/Q3</c:v>
                </c:pt>
              </c:strCache>
            </c:strRef>
          </c:cat>
          <c:val>
            <c:numRef>
              <c:f>'3. 소매판매액 증감률'!$D$35:$H$35</c:f>
              <c:numCache>
                <c:formatCode>0.0</c:formatCode>
                <c:ptCount val="5"/>
                <c:pt idx="0">
                  <c:v>-2.7613412228796954</c:v>
                </c:pt>
                <c:pt idx="1">
                  <c:v>0.54406964091403687</c:v>
                </c:pt>
                <c:pt idx="2">
                  <c:v>-0.42643923240937254</c:v>
                </c:pt>
                <c:pt idx="3">
                  <c:v>-0.32715376226826298</c:v>
                </c:pt>
                <c:pt idx="4">
                  <c:v>-2.9411764705882271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D9-40A1-87AB-6A8787F1D7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9919807"/>
        <c:axId val="1319908575"/>
      </c:lineChart>
      <c:catAx>
        <c:axId val="13199164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19916895"/>
        <c:crosses val="autoZero"/>
        <c:auto val="1"/>
        <c:lblAlgn val="ctr"/>
        <c:lblOffset val="100"/>
        <c:noMultiLvlLbl val="0"/>
      </c:catAx>
      <c:valAx>
        <c:axId val="1319916895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19916479"/>
        <c:crosses val="autoZero"/>
        <c:crossBetween val="between"/>
      </c:valAx>
      <c:valAx>
        <c:axId val="1319908575"/>
        <c:scaling>
          <c:orientation val="minMax"/>
          <c:max val="3"/>
          <c:min val="-3"/>
        </c:scaling>
        <c:delete val="0"/>
        <c:axPos val="r"/>
        <c:numFmt formatCode="0.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19919807"/>
        <c:crosses val="max"/>
        <c:crossBetween val="between"/>
      </c:valAx>
      <c:catAx>
        <c:axId val="13199198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9908575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2.2777777777777786E-2"/>
          <c:y val="2.3148148148148147E-2"/>
          <c:w val="0.56000000000000005"/>
          <c:h val="9.49238116068824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304625819494895E-2"/>
          <c:y val="5.7343888654429909E-2"/>
          <c:w val="0.91648214157982799"/>
          <c:h val="0.7719768472649526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 물가지수'!$G$38:$O$38</c:f>
              <c:strCache>
                <c:ptCount val="9"/>
                <c:pt idx="0">
                  <c:v>'25.1월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</c:strCache>
            </c:strRef>
          </c:cat>
          <c:val>
            <c:numRef>
              <c:f>'4. 물가지수'!$G$39:$O$39</c:f>
              <c:numCache>
                <c:formatCode>0.0</c:formatCode>
                <c:ptCount val="9"/>
                <c:pt idx="0">
                  <c:v>1.7598781622810713</c:v>
                </c:pt>
                <c:pt idx="1">
                  <c:v>1.5014761703922406</c:v>
                </c:pt>
                <c:pt idx="2">
                  <c:v>1.2960781013297478</c:v>
                </c:pt>
                <c:pt idx="3">
                  <c:v>0.8224236320913092</c:v>
                </c:pt>
                <c:pt idx="4">
                  <c:v>0.32704402515723319</c:v>
                </c:pt>
                <c:pt idx="5">
                  <c:v>0.45290614778159188</c:v>
                </c:pt>
                <c:pt idx="6">
                  <c:v>0.52693208430912963</c:v>
                </c:pt>
                <c:pt idx="7">
                  <c:v>0.61149271234713021</c:v>
                </c:pt>
                <c:pt idx="8">
                  <c:v>1.1581067472306223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51-4CC7-9BBA-ED28751A4A5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16570703"/>
        <c:axId val="516582351"/>
      </c:lineChart>
      <c:catAx>
        <c:axId val="516570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6582351"/>
        <c:crosses val="autoZero"/>
        <c:auto val="1"/>
        <c:lblAlgn val="ctr"/>
        <c:lblOffset val="100"/>
        <c:noMultiLvlLbl val="0"/>
      </c:catAx>
      <c:valAx>
        <c:axId val="516582351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6570703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391567058362353E-2"/>
          <c:y val="0.21679899387576554"/>
          <c:w val="0.91619121119410529"/>
          <c:h val="0.72614063867016621"/>
        </c:manualLayout>
      </c:layout>
      <c:lineChart>
        <c:grouping val="standard"/>
        <c:varyColors val="0"/>
        <c:ser>
          <c:idx val="0"/>
          <c:order val="0"/>
          <c:tx>
            <c:strRef>
              <c:f>'4. 물가지수'!$C$72</c:f>
              <c:strCache>
                <c:ptCount val="1"/>
                <c:pt idx="0">
                  <c:v>농산물(소비자)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dLbls>
            <c:dLbl>
              <c:idx val="7"/>
              <c:layout>
                <c:manualLayout>
                  <c:x val="-4.0852789480849555E-2"/>
                  <c:y val="5.77605320314341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76D-438B-BE78-95CC6C5B3E3E}"/>
                </c:ext>
              </c:extLst>
            </c:dLbl>
            <c:dLbl>
              <c:idx val="8"/>
              <c:layout>
                <c:manualLayout>
                  <c:x val="-1.5766115802379781E-2"/>
                  <c:y val="4.40894426537270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76D-438B-BE78-95CC6C5B3E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 물가지수'!$D$71:$L$71</c:f>
              <c:strCache>
                <c:ptCount val="9"/>
                <c:pt idx="0">
                  <c:v>'25.1월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</c:strCache>
            </c:strRef>
          </c:cat>
          <c:val>
            <c:numRef>
              <c:f>'4. 물가지수'!$D$72:$L$72</c:f>
              <c:numCache>
                <c:formatCode>0.0</c:formatCode>
                <c:ptCount val="9"/>
                <c:pt idx="0">
                  <c:v>0.61079325807947427</c:v>
                </c:pt>
                <c:pt idx="1">
                  <c:v>-1.1995318899941387</c:v>
                </c:pt>
                <c:pt idx="2">
                  <c:v>-1.1268419531927205</c:v>
                </c:pt>
                <c:pt idx="3">
                  <c:v>-1.532797355173185</c:v>
                </c:pt>
                <c:pt idx="4">
                  <c:v>-4.7417116422513432</c:v>
                </c:pt>
                <c:pt idx="5">
                  <c:v>-1.7836781234728765</c:v>
                </c:pt>
                <c:pt idx="6">
                  <c:v>-9.6860117846480381E-2</c:v>
                </c:pt>
                <c:pt idx="7">
                  <c:v>2.732871439568886</c:v>
                </c:pt>
                <c:pt idx="8">
                  <c:v>-1.2300852167469409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14-4FAE-836B-90A0A490E39C}"/>
            </c:ext>
          </c:extLst>
        </c:ser>
        <c:ser>
          <c:idx val="1"/>
          <c:order val="1"/>
          <c:tx>
            <c:strRef>
              <c:f>'4. 물가지수'!$C$73</c:f>
              <c:strCache>
                <c:ptCount val="1"/>
                <c:pt idx="0">
                  <c:v>사료(생산자)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5400">
                <a:solidFill>
                  <a:schemeClr val="accent2"/>
                </a:solidFill>
              </a:ln>
              <a:effectLst/>
            </c:spPr>
          </c:marker>
          <c:dLbls>
            <c:dLbl>
              <c:idx val="7"/>
              <c:layout>
                <c:manualLayout>
                  <c:x val="-4.1267232831623861E-2"/>
                  <c:y val="-6.68742327953288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6D-438B-BE78-95CC6C5B3E3E}"/>
                </c:ext>
              </c:extLst>
            </c:dLbl>
            <c:dLbl>
              <c:idx val="8"/>
              <c:layout>
                <c:manualLayout>
                  <c:x val="-4.1267232831623958E-2"/>
                  <c:y val="-5.3203143417621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6D-438B-BE78-95CC6C5B3E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 물가지수'!$D$71:$L$71</c:f>
              <c:strCache>
                <c:ptCount val="9"/>
                <c:pt idx="0">
                  <c:v>'25.1월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</c:strCache>
            </c:strRef>
          </c:cat>
          <c:val>
            <c:numRef>
              <c:f>'4. 물가지수'!$D$73:$L$73</c:f>
              <c:numCache>
                <c:formatCode>0.0</c:formatCode>
                <c:ptCount val="9"/>
                <c:pt idx="0">
                  <c:v>-2.433442672972765</c:v>
                </c:pt>
                <c:pt idx="1">
                  <c:v>-1.9223434281791212</c:v>
                </c:pt>
                <c:pt idx="2">
                  <c:v>-1.1525837722311205</c:v>
                </c:pt>
                <c:pt idx="3">
                  <c:v>-0.230769230769239</c:v>
                </c:pt>
                <c:pt idx="4">
                  <c:v>0.71599045346062584</c:v>
                </c:pt>
                <c:pt idx="5">
                  <c:v>0.83198520915182506</c:v>
                </c:pt>
                <c:pt idx="6">
                  <c:v>0.80135614116196019</c:v>
                </c:pt>
                <c:pt idx="7">
                  <c:v>1.9727095516569211</c:v>
                </c:pt>
                <c:pt idx="8">
                  <c:v>1.6739674593241445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14-4FAE-836B-90A0A490E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789855"/>
        <c:axId val="398784863"/>
      </c:lineChart>
      <c:catAx>
        <c:axId val="39878985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98784863"/>
        <c:crosses val="autoZero"/>
        <c:auto val="1"/>
        <c:lblAlgn val="ctr"/>
        <c:lblOffset val="100"/>
        <c:noMultiLvlLbl val="0"/>
      </c:catAx>
      <c:valAx>
        <c:axId val="398784863"/>
        <c:scaling>
          <c:orientation val="minMax"/>
          <c:max val="4"/>
          <c:min val="-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789855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6244531933508317E-2"/>
          <c:y val="2.7777777777777776E-2"/>
          <c:w val="0.51965943300595052"/>
          <c:h val="9.49238116068824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'4. 물가지수'!$C$13</c:f>
              <c:strCache>
                <c:ptCount val="1"/>
                <c:pt idx="0">
                  <c:v>총지수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3"/>
              <c:spPr>
                <a:noFill/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CA0F-49B3-8ED5-347794D14623}"/>
                </c:ext>
              </c:extLst>
            </c:dLbl>
            <c:dLbl>
              <c:idx val="4"/>
              <c:spPr>
                <a:noFill/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CA0F-49B3-8ED5-347794D14623}"/>
                </c:ext>
              </c:extLst>
            </c:dLbl>
            <c:dLbl>
              <c:idx val="5"/>
              <c:spPr>
                <a:noFill/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CA0F-49B3-8ED5-347794D146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 물가지수'!$D$12:$O$12</c15:sqref>
                  </c15:fullRef>
                </c:ext>
              </c:extLst>
              <c:f>'4. 물가지수'!$G$12:$O$12</c:f>
              <c:strCache>
                <c:ptCount val="9"/>
                <c:pt idx="0">
                  <c:v>'25.1월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 물가지수'!$D$13:$O$13</c15:sqref>
                  </c15:fullRef>
                </c:ext>
              </c:extLst>
              <c:f>'4. 물가지수'!$G$13:$O$13</c:f>
              <c:numCache>
                <c:formatCode>0.0</c:formatCode>
                <c:ptCount val="9"/>
                <c:pt idx="0">
                  <c:v>2.2444110630025556</c:v>
                </c:pt>
                <c:pt idx="1">
                  <c:v>2.0214448936544183</c:v>
                </c:pt>
                <c:pt idx="2">
                  <c:v>2.05353225098728</c:v>
                </c:pt>
                <c:pt idx="3">
                  <c:v>2.0787650206122184</c:v>
                </c:pt>
                <c:pt idx="4">
                  <c:v>1.9018404907975475</c:v>
                </c:pt>
                <c:pt idx="5">
                  <c:v>2.169711876317638</c:v>
                </c:pt>
                <c:pt idx="6">
                  <c:v>2.0941032156312982</c:v>
                </c:pt>
                <c:pt idx="7">
                  <c:v>1.6675397241138437</c:v>
                </c:pt>
                <c:pt idx="8">
                  <c:v>2.1020497165285623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0F-49B3-8ED5-347794D14623}"/>
            </c:ext>
          </c:extLst>
        </c:ser>
        <c:ser>
          <c:idx val="1"/>
          <c:order val="1"/>
          <c:tx>
            <c:strRef>
              <c:f>'4. 물가지수'!$C$14</c:f>
              <c:strCache>
                <c:ptCount val="1"/>
                <c:pt idx="0">
                  <c:v>근원물가지수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5485968285812929E-2"/>
                  <c:y val="-4.62962962962963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A0F-49B3-8ED5-347794D14623}"/>
                </c:ext>
              </c:extLst>
            </c:dLbl>
            <c:dLbl>
              <c:idx val="1"/>
              <c:layout>
                <c:manualLayout>
                  <c:x val="-3.7703841303676322E-2"/>
                  <c:y val="6.01851851851851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A0F-49B3-8ED5-347794D14623}"/>
                </c:ext>
              </c:extLst>
            </c:dLbl>
            <c:dLbl>
              <c:idx val="2"/>
              <c:layout>
                <c:manualLayout>
                  <c:x val="-3.1050222250086395E-2"/>
                  <c:y val="6.01851851851850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A0F-49B3-8ED5-347794D1462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A0F-49B3-8ED5-347794D14623}"/>
                </c:ext>
              </c:extLst>
            </c:dLbl>
            <c:dLbl>
              <c:idx val="4"/>
              <c:layout>
                <c:manualLayout>
                  <c:x val="1.3307238107179849E-2"/>
                  <c:y val="3.2407407407407406E-2"/>
                </c:manualLayout>
              </c:layout>
              <c:spPr>
                <a:noFill/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A0F-49B3-8ED5-347794D14623}"/>
                </c:ext>
              </c:extLst>
            </c:dLbl>
            <c:dLbl>
              <c:idx val="5"/>
              <c:spPr>
                <a:noFill/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CA0F-49B3-8ED5-347794D146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 물가지수'!$D$12:$O$12</c15:sqref>
                  </c15:fullRef>
                </c:ext>
              </c:extLst>
              <c:f>'4. 물가지수'!$G$12:$O$12</c:f>
              <c:strCache>
                <c:ptCount val="9"/>
                <c:pt idx="0">
                  <c:v>'25.1월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 물가지수'!$D$14:$O$14</c15:sqref>
                  </c15:fullRef>
                </c:ext>
              </c:extLst>
              <c:f>'4. 물가지수'!$G$14:$O$14</c:f>
              <c:numCache>
                <c:formatCode>0.0</c:formatCode>
                <c:ptCount val="9"/>
                <c:pt idx="0">
                  <c:v>1.9361876193073315</c:v>
                </c:pt>
                <c:pt idx="1">
                  <c:v>1.7672648178357828</c:v>
                </c:pt>
                <c:pt idx="2">
                  <c:v>1.901829378735731</c:v>
                </c:pt>
                <c:pt idx="3">
                  <c:v>2.0513283932767128</c:v>
                </c:pt>
                <c:pt idx="4">
                  <c:v>1.9745739789018102</c:v>
                </c:pt>
                <c:pt idx="5">
                  <c:v>2.0009013068949968</c:v>
                </c:pt>
                <c:pt idx="6">
                  <c:v>1.9771726431203407</c:v>
                </c:pt>
                <c:pt idx="7">
                  <c:v>1.2926391382405724</c:v>
                </c:pt>
                <c:pt idx="8">
                  <c:v>1.9607843137254837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'4. 물가지수'!$D$14</c15:sqref>
                  <c15:dLbl>
                    <c:idx val="-1"/>
                    <c:layout>
                      <c:manualLayout>
                        <c:x val="-3.3268095267949618E-2"/>
                        <c:y val="-6.018518518518527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15A0-420C-A2AB-D01AC50ADED6}"/>
                      </c:ext>
                    </c:extLst>
                  </c15:dLbl>
                </c15:categoryFilterException>
                <c15:categoryFilterException>
                  <c15:sqref>'4. 물가지수'!$E$14</c15:sqref>
                  <c15:dLbl>
                    <c:idx val="-1"/>
                    <c:layout>
                      <c:manualLayout>
                        <c:x val="-3.3268095267949618E-2"/>
                        <c:y val="-6.018518518518518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15A0-420C-A2AB-D01AC50ADED6}"/>
                      </c:ext>
                    </c:extLst>
                  </c15:dLbl>
                </c15:categoryFilterException>
                <c15:categoryFilterException>
                  <c15:sqref>'4. 물가지수'!$F$14</c15:sqref>
                  <c15:dLbl>
                    <c:idx val="-1"/>
                    <c:layout>
                      <c:manualLayout>
                        <c:x val="-3.5485968285812929E-2"/>
                        <c:y val="6.018518518518509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15A0-420C-A2AB-D01AC50ADED6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CA0F-49B3-8ED5-347794D14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060240"/>
        <c:axId val="482058992"/>
      </c:lineChart>
      <c:catAx>
        <c:axId val="48206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82058992"/>
        <c:crosses val="autoZero"/>
        <c:auto val="1"/>
        <c:lblAlgn val="ctr"/>
        <c:lblOffset val="100"/>
        <c:noMultiLvlLbl val="0"/>
      </c:catAx>
      <c:valAx>
        <c:axId val="482058992"/>
        <c:scaling>
          <c:orientation val="minMax"/>
          <c:max val="3"/>
          <c:min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8206024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2777777777777782E-2"/>
          <c:y val="1.8518518518518517E-2"/>
          <c:w val="0.41518582894401129"/>
          <c:h val="9.49238116068824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444444444444446E-2"/>
          <c:y val="5.0925925925925923E-2"/>
          <c:w val="0.93888888888888888"/>
          <c:h val="0.82049431321084865"/>
        </c:manualLayout>
      </c:layout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유가'!$K$6:$S$6</c:f>
              <c:strCache>
                <c:ptCount val="9"/>
                <c:pt idx="0">
                  <c:v>'25.1월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</c:strCache>
            </c:strRef>
          </c:cat>
          <c:val>
            <c:numRef>
              <c:f>'5. 유가'!$K$7:$S$7</c:f>
              <c:numCache>
                <c:formatCode>0.0</c:formatCode>
                <c:ptCount val="9"/>
                <c:pt idx="0">
                  <c:v>80.8</c:v>
                </c:pt>
                <c:pt idx="1">
                  <c:v>76.319999999999993</c:v>
                </c:pt>
                <c:pt idx="2">
                  <c:v>72.98</c:v>
                </c:pt>
                <c:pt idx="3">
                  <c:v>68.489999999999995</c:v>
                </c:pt>
                <c:pt idx="4">
                  <c:v>63.61</c:v>
                </c:pt>
                <c:pt idx="5">
                  <c:v>69.36</c:v>
                </c:pt>
                <c:pt idx="6">
                  <c:v>71.040000000000006</c:v>
                </c:pt>
                <c:pt idx="7">
                  <c:v>69.39</c:v>
                </c:pt>
                <c:pt idx="8">
                  <c:v>69.92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41-419F-82E4-7D7F0838D19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53158800"/>
        <c:axId val="853160880"/>
      </c:lineChart>
      <c:catAx>
        <c:axId val="85315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53160880"/>
        <c:crosses val="autoZero"/>
        <c:auto val="1"/>
        <c:lblAlgn val="ctr"/>
        <c:lblOffset val="100"/>
        <c:noMultiLvlLbl val="0"/>
      </c:catAx>
      <c:valAx>
        <c:axId val="853160880"/>
        <c:scaling>
          <c:orientation val="minMax"/>
          <c:min val="60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53158800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485253199777408E-2"/>
          <c:y val="0.19762668102969214"/>
          <c:w val="0.9510294936004452"/>
          <c:h val="0.63040105328853446"/>
        </c:manualLayout>
      </c:layout>
      <c:lineChart>
        <c:grouping val="standard"/>
        <c:varyColors val="0"/>
        <c:ser>
          <c:idx val="0"/>
          <c:order val="0"/>
          <c:tx>
            <c:strRef>
              <c:f>'5. 유가'!$C$12</c:f>
              <c:strCache>
                <c:ptCount val="1"/>
                <c:pt idx="0">
                  <c:v>휘발유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유가'!$D$11:$L$11</c:f>
              <c:strCache>
                <c:ptCount val="9"/>
                <c:pt idx="0">
                  <c:v>'25.1월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</c:strCache>
            </c:strRef>
          </c:cat>
          <c:val>
            <c:numRef>
              <c:f>'5. 유가'!$D$12:$L$12</c:f>
              <c:numCache>
                <c:formatCode>_(* #,##0_);_(* \(#,##0\);_(* "-"_);_(@_)</c:formatCode>
                <c:ptCount val="9"/>
                <c:pt idx="0">
                  <c:v>1709.29</c:v>
                </c:pt>
                <c:pt idx="1">
                  <c:v>1728.26</c:v>
                </c:pt>
                <c:pt idx="2">
                  <c:v>1688.93</c:v>
                </c:pt>
                <c:pt idx="3">
                  <c:v>1646.69</c:v>
                </c:pt>
                <c:pt idx="4">
                  <c:v>1636.45</c:v>
                </c:pt>
                <c:pt idx="5">
                  <c:v>1642.08</c:v>
                </c:pt>
                <c:pt idx="6">
                  <c:v>1667.58</c:v>
                </c:pt>
                <c:pt idx="7">
                  <c:v>1665.91</c:v>
                </c:pt>
                <c:pt idx="8">
                  <c:v>1659.88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9D-41DE-8BC9-02FA5DAC395F}"/>
            </c:ext>
          </c:extLst>
        </c:ser>
        <c:ser>
          <c:idx val="1"/>
          <c:order val="1"/>
          <c:tx>
            <c:strRef>
              <c:f>'5. 유가'!$C$13</c:f>
              <c:strCache>
                <c:ptCount val="1"/>
                <c:pt idx="0">
                  <c:v>경유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5400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유가'!$D$11:$L$11</c:f>
              <c:strCache>
                <c:ptCount val="9"/>
                <c:pt idx="0">
                  <c:v>'25.1월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</c:strCache>
            </c:strRef>
          </c:cat>
          <c:val>
            <c:numRef>
              <c:f>'5. 유가'!$D$13:$L$13</c:f>
              <c:numCache>
                <c:formatCode>_(* #,##0_);_(* \(#,##0\);_(* "-"_);_(@_)</c:formatCode>
                <c:ptCount val="9"/>
                <c:pt idx="0">
                  <c:v>1563.53</c:v>
                </c:pt>
                <c:pt idx="1">
                  <c:v>1594.01</c:v>
                </c:pt>
                <c:pt idx="2">
                  <c:v>1555.03</c:v>
                </c:pt>
                <c:pt idx="3">
                  <c:v>1513.21</c:v>
                </c:pt>
                <c:pt idx="4">
                  <c:v>1502.15</c:v>
                </c:pt>
                <c:pt idx="5">
                  <c:v>1505.43</c:v>
                </c:pt>
                <c:pt idx="6">
                  <c:v>1531.55</c:v>
                </c:pt>
                <c:pt idx="7">
                  <c:v>1535.74</c:v>
                </c:pt>
                <c:pt idx="8">
                  <c:v>1530.67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9D-41DE-8BC9-02FA5DAC395F}"/>
            </c:ext>
          </c:extLst>
        </c:ser>
        <c:ser>
          <c:idx val="2"/>
          <c:order val="2"/>
          <c:tx>
            <c:strRef>
              <c:f>'5. 유가'!$C$14</c:f>
              <c:strCache>
                <c:ptCount val="1"/>
                <c:pt idx="0">
                  <c:v>등유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유가'!$D$11:$L$11</c:f>
              <c:strCache>
                <c:ptCount val="9"/>
                <c:pt idx="0">
                  <c:v>'25.1월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</c:strCache>
            </c:strRef>
          </c:cat>
          <c:val>
            <c:numRef>
              <c:f>'5. 유가'!$D$14:$L$14</c:f>
              <c:numCache>
                <c:formatCode>_(* #,##0_);_(* \(#,##0\);_(* "-"_);_(@_)</c:formatCode>
                <c:ptCount val="9"/>
                <c:pt idx="0">
                  <c:v>1327.91</c:v>
                </c:pt>
                <c:pt idx="1">
                  <c:v>1341.41</c:v>
                </c:pt>
                <c:pt idx="2">
                  <c:v>1332.88</c:v>
                </c:pt>
                <c:pt idx="3">
                  <c:v>1317.01</c:v>
                </c:pt>
                <c:pt idx="4">
                  <c:v>1305.96</c:v>
                </c:pt>
                <c:pt idx="5">
                  <c:v>1296.1099999999999</c:v>
                </c:pt>
                <c:pt idx="6">
                  <c:v>1296.25</c:v>
                </c:pt>
                <c:pt idx="7">
                  <c:v>1293.1600000000001</c:v>
                </c:pt>
                <c:pt idx="8">
                  <c:v>1291.92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9D-41DE-8BC9-02FA5DAC395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18807424"/>
        <c:axId val="918794944"/>
      </c:lineChart>
      <c:catAx>
        <c:axId val="91880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18794944"/>
        <c:crosses val="autoZero"/>
        <c:auto val="1"/>
        <c:lblAlgn val="ctr"/>
        <c:lblOffset val="100"/>
        <c:noMultiLvlLbl val="0"/>
      </c:catAx>
      <c:valAx>
        <c:axId val="918794944"/>
        <c:scaling>
          <c:orientation val="minMax"/>
          <c:min val="1200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1880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1247358436701303E-2"/>
          <c:y val="2.7777777777777776E-2"/>
          <c:w val="0.41138384976494097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'5. 유가'!$C$20</c:f>
              <c:strCache>
                <c:ptCount val="1"/>
                <c:pt idx="0">
                  <c:v>휘발유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905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유가'!$D$19:$L$19</c:f>
              <c:strCache>
                <c:ptCount val="9"/>
                <c:pt idx="0">
                  <c:v>'25.1월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</c:strCache>
            </c:strRef>
          </c:cat>
          <c:val>
            <c:numRef>
              <c:f>'5. 유가'!$D$20:$L$20</c:f>
              <c:numCache>
                <c:formatCode>_(* #,##0_);_(* \(#,##0\);_(* "-"_);_(@_)</c:formatCode>
                <c:ptCount val="9"/>
                <c:pt idx="0">
                  <c:v>1049.54</c:v>
                </c:pt>
                <c:pt idx="1">
                  <c:v>1067.53</c:v>
                </c:pt>
                <c:pt idx="2">
                  <c:v>1062.5999999999999</c:v>
                </c:pt>
                <c:pt idx="3">
                  <c:v>1039.94</c:v>
                </c:pt>
                <c:pt idx="4">
                  <c:v>1015.65</c:v>
                </c:pt>
                <c:pt idx="5">
                  <c:v>1007.23</c:v>
                </c:pt>
                <c:pt idx="6">
                  <c:v>1019.19</c:v>
                </c:pt>
                <c:pt idx="7">
                  <c:v>1020.12</c:v>
                </c:pt>
                <c:pt idx="8">
                  <c:v>1018.28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BF-4841-B37F-15394B652F22}"/>
            </c:ext>
          </c:extLst>
        </c:ser>
        <c:ser>
          <c:idx val="1"/>
          <c:order val="1"/>
          <c:tx>
            <c:strRef>
              <c:f>'5. 유가'!$C$21</c:f>
              <c:strCache>
                <c:ptCount val="1"/>
                <c:pt idx="0">
                  <c:v>경유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9050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유가'!$D$19:$L$19</c:f>
              <c:strCache>
                <c:ptCount val="9"/>
                <c:pt idx="0">
                  <c:v>'25.1월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</c:strCache>
            </c:strRef>
          </c:cat>
          <c:val>
            <c:numRef>
              <c:f>'5. 유가'!$D$21:$L$21</c:f>
              <c:numCache>
                <c:formatCode>_(* #,##0_);_(* \(#,##0\);_(* "-"_);_(@_)</c:formatCode>
                <c:ptCount val="9"/>
                <c:pt idx="0">
                  <c:v>1128.3499999999999</c:v>
                </c:pt>
                <c:pt idx="1">
                  <c:v>1156.1099999999999</c:v>
                </c:pt>
                <c:pt idx="2">
                  <c:v>1143.33</c:v>
                </c:pt>
                <c:pt idx="3">
                  <c:v>1117.21</c:v>
                </c:pt>
                <c:pt idx="4">
                  <c:v>1090.52</c:v>
                </c:pt>
                <c:pt idx="5">
                  <c:v>1081.4100000000001</c:v>
                </c:pt>
                <c:pt idx="6">
                  <c:v>1093.75</c:v>
                </c:pt>
                <c:pt idx="7">
                  <c:v>1097.06</c:v>
                </c:pt>
                <c:pt idx="8">
                  <c:v>1094.8599999999999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BF-4841-B37F-15394B652F22}"/>
            </c:ext>
          </c:extLst>
        </c:ser>
        <c:ser>
          <c:idx val="2"/>
          <c:order val="2"/>
          <c:tx>
            <c:strRef>
              <c:f>'5. 유가'!$C$22</c:f>
              <c:strCache>
                <c:ptCount val="1"/>
                <c:pt idx="0">
                  <c:v>등유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9050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유가'!$D$19:$L$19</c:f>
              <c:strCache>
                <c:ptCount val="9"/>
                <c:pt idx="0">
                  <c:v>'25.1월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</c:strCache>
            </c:strRef>
          </c:cat>
          <c:val>
            <c:numRef>
              <c:f>'5. 유가'!$D$22:$L$22</c:f>
              <c:numCache>
                <c:formatCode>_(* #,##0_);_(* \(#,##0\);_(* "-"_);_(@_)</c:formatCode>
                <c:ptCount val="9"/>
                <c:pt idx="0">
                  <c:v>1128.56</c:v>
                </c:pt>
                <c:pt idx="1">
                  <c:v>1142.03</c:v>
                </c:pt>
                <c:pt idx="2">
                  <c:v>1137.45</c:v>
                </c:pt>
                <c:pt idx="3">
                  <c:v>1120.53</c:v>
                </c:pt>
                <c:pt idx="4">
                  <c:v>1107.3399999999999</c:v>
                </c:pt>
                <c:pt idx="5">
                  <c:v>1094.96</c:v>
                </c:pt>
                <c:pt idx="6">
                  <c:v>1095.3399999999999</c:v>
                </c:pt>
                <c:pt idx="7">
                  <c:v>1101.71</c:v>
                </c:pt>
                <c:pt idx="8">
                  <c:v>1101.05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BF-4841-B37F-15394B652F2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53150064"/>
        <c:axId val="853147984"/>
      </c:lineChart>
      <c:catAx>
        <c:axId val="85315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53147984"/>
        <c:crosses val="autoZero"/>
        <c:auto val="1"/>
        <c:lblAlgn val="ctr"/>
        <c:lblOffset val="100"/>
        <c:noMultiLvlLbl val="0"/>
      </c:catAx>
      <c:valAx>
        <c:axId val="853147984"/>
        <c:scaling>
          <c:orientation val="minMax"/>
          <c:min val="980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5315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3.7951683109760673E-2"/>
          <c:y val="2.7777777777777776E-2"/>
          <c:w val="0.40684593095885607"/>
          <c:h val="9.49238116068824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75204148703453"/>
          <c:y val="0.15808043863313509"/>
          <c:w val="0.87224795851296544"/>
          <c:h val="0.6678957901776349"/>
        </c:manualLayout>
      </c:layout>
      <c:lineChart>
        <c:grouping val="standard"/>
        <c:varyColors val="0"/>
        <c:ser>
          <c:idx val="0"/>
          <c:order val="0"/>
          <c:tx>
            <c:strRef>
              <c:f>'5. 농가판매 및 구입가격지수'!$D$9</c:f>
              <c:strCache>
                <c:ptCount val="1"/>
                <c:pt idx="0">
                  <c:v>판매가격지수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4"/>
              <c:spPr>
                <a:noFill/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B28-48AF-9CAA-068A0E7330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농가판매 및 구입가격지수'!$H$8:$L$8</c:f>
              <c:strCache>
                <c:ptCount val="5"/>
                <c:pt idx="0">
                  <c:v>2025.2/4</c:v>
                </c:pt>
                <c:pt idx="1">
                  <c:v>2025.3/4</c:v>
                </c:pt>
                <c:pt idx="2">
                  <c:v>2025.4/4</c:v>
                </c:pt>
                <c:pt idx="3">
                  <c:v>2026.1/4</c:v>
                </c:pt>
                <c:pt idx="4">
                  <c:v>2026.2/4</c:v>
                </c:pt>
              </c:strCache>
            </c:strRef>
          </c:cat>
          <c:val>
            <c:numRef>
              <c:f>'5. 농가판매 및 구입가격지수'!$H$9:$L$9</c:f>
              <c:numCache>
                <c:formatCode>#,##0.0</c:formatCode>
                <c:ptCount val="5"/>
                <c:pt idx="0">
                  <c:v>118.1</c:v>
                </c:pt>
                <c:pt idx="1">
                  <c:v>119.9</c:v>
                </c:pt>
                <c:pt idx="2">
                  <c:v>119.3</c:v>
                </c:pt>
                <c:pt idx="3">
                  <c:v>123.1</c:v>
                </c:pt>
                <c:pt idx="4">
                  <c:v>124.4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47-4438-BBB0-F6023EEDB74C}"/>
            </c:ext>
          </c:extLst>
        </c:ser>
        <c:ser>
          <c:idx val="1"/>
          <c:order val="1"/>
          <c:tx>
            <c:strRef>
              <c:f>'5. 농가판매 및 구입가격지수'!$D$10</c:f>
              <c:strCache>
                <c:ptCount val="1"/>
                <c:pt idx="0">
                  <c:v>구입가격지수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4"/>
              <c:spPr>
                <a:noFill/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9B28-48AF-9CAA-068A0E7330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농가판매 및 구입가격지수'!$H$8:$L$8</c:f>
              <c:strCache>
                <c:ptCount val="5"/>
                <c:pt idx="0">
                  <c:v>2025.2/4</c:v>
                </c:pt>
                <c:pt idx="1">
                  <c:v>2025.3/4</c:v>
                </c:pt>
                <c:pt idx="2">
                  <c:v>2025.4/4</c:v>
                </c:pt>
                <c:pt idx="3">
                  <c:v>2026.1/4</c:v>
                </c:pt>
                <c:pt idx="4">
                  <c:v>2026.2/4</c:v>
                </c:pt>
              </c:strCache>
            </c:strRef>
          </c:cat>
          <c:val>
            <c:numRef>
              <c:f>'5. 농가판매 및 구입가격지수'!$H$10:$L$10</c:f>
              <c:numCache>
                <c:formatCode>#,##0.0</c:formatCode>
                <c:ptCount val="5"/>
                <c:pt idx="0">
                  <c:v>121</c:v>
                </c:pt>
                <c:pt idx="1">
                  <c:v>121.4</c:v>
                </c:pt>
                <c:pt idx="2">
                  <c:v>123</c:v>
                </c:pt>
                <c:pt idx="3">
                  <c:v>124.4</c:v>
                </c:pt>
                <c:pt idx="4">
                  <c:v>129.30000000000001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47-4438-BBB0-F6023EEDB74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99632656"/>
        <c:axId val="1799626000"/>
      </c:lineChart>
      <c:valAx>
        <c:axId val="1799626000"/>
        <c:scaling>
          <c:orientation val="minMax"/>
          <c:max val="130"/>
          <c:min val="115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99632656"/>
        <c:crosses val="autoZero"/>
        <c:crossBetween val="between"/>
        <c:majorUnit val="5"/>
      </c:valAx>
      <c:catAx>
        <c:axId val="1799632656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799626000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1.5000000000000003E-2"/>
          <c:y val="3.7037037037037035E-2"/>
          <c:w val="0.64105374282089278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0.10810833886728012"/>
          <c:w val="0.98611111111111116"/>
          <c:h val="0.732974333264521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'6. 고용'!$C$10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6666666666666666E-2"/>
                  <c:y val="2.409638554216867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15-49BB-9E3B-EC374865F59D}"/>
                </c:ext>
              </c:extLst>
            </c:dLbl>
            <c:dLbl>
              <c:idx val="1"/>
              <c:layout>
                <c:manualLayout>
                  <c:x val="-1.1111111111111112E-2"/>
                  <c:y val="2.409638554216867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15-49BB-9E3B-EC374865F59D}"/>
                </c:ext>
              </c:extLst>
            </c:dLbl>
            <c:dLbl>
              <c:idx val="2"/>
              <c:layout>
                <c:manualLayout>
                  <c:x val="-1.3888888888888888E-2"/>
                  <c:y val="1.2048192771084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15-49BB-9E3B-EC374865F59D}"/>
                </c:ext>
              </c:extLst>
            </c:dLbl>
            <c:dLbl>
              <c:idx val="3"/>
              <c:layout>
                <c:manualLayout>
                  <c:x val="-2.2222222222222324E-2"/>
                  <c:y val="3.6813497083431306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A15-49BB-9E3B-EC374865F5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'6. 고용'!$D$8:$G$8</c:f>
              <c:strCache>
                <c:ptCount val="4"/>
                <c:pt idx="0">
                  <c:v>1분기</c:v>
                </c:pt>
                <c:pt idx="1">
                  <c:v>2분기</c:v>
                </c:pt>
                <c:pt idx="2">
                  <c:v>3분기</c:v>
                </c:pt>
                <c:pt idx="3">
                  <c:v>4분기</c:v>
                </c:pt>
              </c:strCache>
            </c:strRef>
          </c:cat>
          <c:val>
            <c:numRef>
              <c:f>'6. 고용'!$D$10:$G$10</c:f>
              <c:numCache>
                <c:formatCode>_(* #,##0_);_(* \(#,##0\);_(* "-"_);_(@_)</c:formatCode>
                <c:ptCount val="4"/>
                <c:pt idx="0">
                  <c:v>2806</c:v>
                </c:pt>
                <c:pt idx="1">
                  <c:v>2884</c:v>
                </c:pt>
                <c:pt idx="2">
                  <c:v>2883</c:v>
                </c:pt>
                <c:pt idx="3">
                  <c:v>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8C-4C82-AF6F-9FDC5BB6A262}"/>
            </c:ext>
          </c:extLst>
        </c:ser>
        <c:ser>
          <c:idx val="1"/>
          <c:order val="1"/>
          <c:tx>
            <c:strRef>
              <c:f>'6. 고용'!$C$11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1111111111111112E-2"/>
                  <c:y val="2.008032128514048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A15-49BB-9E3B-EC374865F59D}"/>
                </c:ext>
              </c:extLst>
            </c:dLbl>
            <c:dLbl>
              <c:idx val="1"/>
              <c:layout>
                <c:manualLayout>
                  <c:x val="-3.3333333333333381E-2"/>
                  <c:y val="2.409625763071748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15-49BB-9E3B-EC374865F5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'6. 고용'!$D$8:$G$8</c:f>
              <c:strCache>
                <c:ptCount val="4"/>
                <c:pt idx="0">
                  <c:v>1분기</c:v>
                </c:pt>
                <c:pt idx="1">
                  <c:v>2분기</c:v>
                </c:pt>
                <c:pt idx="2">
                  <c:v>3분기</c:v>
                </c:pt>
                <c:pt idx="3">
                  <c:v>4분기</c:v>
                </c:pt>
              </c:strCache>
            </c:strRef>
          </c:cat>
          <c:val>
            <c:numRef>
              <c:f>'6. 고용'!$D$11:$G$11</c:f>
              <c:numCache>
                <c:formatCode>_(* #,##0_);_(* \(#,##0\);_(* "-"_);_(@_)</c:formatCode>
                <c:ptCount val="4"/>
                <c:pt idx="0">
                  <c:v>2822</c:v>
                </c:pt>
                <c:pt idx="1">
                  <c:v>2905</c:v>
                </c:pt>
                <c:pt idx="2">
                  <c:v>2905</c:v>
                </c:pt>
                <c:pt idx="3">
                  <c:v>2877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8C-4C82-AF6F-9FDC5BB6A262}"/>
            </c:ext>
          </c:extLst>
        </c:ser>
        <c:ser>
          <c:idx val="2"/>
          <c:order val="2"/>
          <c:tx>
            <c:strRef>
              <c:f>'6. 고용'!$C$12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5555555555555809E-3"/>
                  <c:y val="1.204819277108433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A15-49BB-9E3B-EC374865F59D}"/>
                </c:ext>
              </c:extLst>
            </c:dLbl>
            <c:dLbl>
              <c:idx val="1"/>
              <c:layout>
                <c:manualLayout>
                  <c:x val="5.5555555555555558E-3"/>
                  <c:y val="-8.0320858769058357E-3"/>
                </c:manualLayout>
              </c:layout>
              <c:spPr>
                <a:noFill/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A15-49BB-9E3B-EC374865F5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'6. 고용'!$D$8:$G$8</c:f>
              <c:strCache>
                <c:ptCount val="4"/>
                <c:pt idx="0">
                  <c:v>1분기</c:v>
                </c:pt>
                <c:pt idx="1">
                  <c:v>2분기</c:v>
                </c:pt>
                <c:pt idx="2">
                  <c:v>3분기</c:v>
                </c:pt>
                <c:pt idx="3">
                  <c:v>4분기</c:v>
                </c:pt>
              </c:strCache>
            </c:strRef>
          </c:cat>
          <c:val>
            <c:numRef>
              <c:f>'6. 고용'!$D$12:$G$12</c:f>
              <c:numCache>
                <c:formatCode>_(* #,##0_);_(* \(#,##0\);_(* "-"_);_(@_)</c:formatCode>
                <c:ptCount val="4"/>
                <c:pt idx="0">
                  <c:v>2840</c:v>
                </c:pt>
                <c:pt idx="1">
                  <c:v>2908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8C-4C82-AF6F-9FDC5BB6A2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952735"/>
        <c:axId val="212954815"/>
      </c:barChart>
      <c:catAx>
        <c:axId val="21295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2954815"/>
        <c:crosses val="autoZero"/>
        <c:auto val="1"/>
        <c:lblAlgn val="ctr"/>
        <c:lblOffset val="100"/>
        <c:noMultiLvlLbl val="0"/>
      </c:catAx>
      <c:valAx>
        <c:axId val="212954815"/>
        <c:scaling>
          <c:orientation val="minMax"/>
          <c:max val="2950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295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4922790901137357E-2"/>
          <c:y val="2.4096385542168676E-2"/>
          <c:w val="0.47848753280839884"/>
          <c:h val="6.77715586756474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 고용'!$C$34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'6. 고용'!$D$32:$G$32</c:f>
              <c:strCache>
                <c:ptCount val="4"/>
                <c:pt idx="0">
                  <c:v>1분기</c:v>
                </c:pt>
                <c:pt idx="1">
                  <c:v>2분기</c:v>
                </c:pt>
                <c:pt idx="2">
                  <c:v>3분기</c:v>
                </c:pt>
                <c:pt idx="3">
                  <c:v>4분기</c:v>
                </c:pt>
              </c:strCache>
            </c:strRef>
          </c:cat>
          <c:val>
            <c:numRef>
              <c:f>'6. 고용'!$D$34:$G$34</c:f>
              <c:numCache>
                <c:formatCode>_(* #,##0_);_(* \(#,##0\);_(* "-"_);_(@_)</c:formatCode>
                <c:ptCount val="4"/>
                <c:pt idx="0">
                  <c:v>126</c:v>
                </c:pt>
                <c:pt idx="1">
                  <c:v>160</c:v>
                </c:pt>
                <c:pt idx="2">
                  <c:v>160</c:v>
                </c:pt>
                <c:pt idx="3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E-4561-A5F4-BC2CF3848277}"/>
            </c:ext>
          </c:extLst>
        </c:ser>
        <c:ser>
          <c:idx val="1"/>
          <c:order val="1"/>
          <c:tx>
            <c:strRef>
              <c:f>'6. 고용'!$C$35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1.433691756272405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36-4343-89BA-90078AE435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'6. 고용'!$D$32:$G$32</c:f>
              <c:strCache>
                <c:ptCount val="4"/>
                <c:pt idx="0">
                  <c:v>1분기</c:v>
                </c:pt>
                <c:pt idx="1">
                  <c:v>2분기</c:v>
                </c:pt>
                <c:pt idx="2">
                  <c:v>3분기</c:v>
                </c:pt>
                <c:pt idx="3">
                  <c:v>4분기</c:v>
                </c:pt>
              </c:strCache>
            </c:strRef>
          </c:cat>
          <c:val>
            <c:numRef>
              <c:f>'6. 고용'!$D$35:$G$35</c:f>
              <c:numCache>
                <c:formatCode>_(* #,##0_);_(* \(#,##0\);_(* "-"_);_(@_)</c:formatCode>
                <c:ptCount val="4"/>
                <c:pt idx="0">
                  <c:v>123</c:v>
                </c:pt>
                <c:pt idx="1">
                  <c:v>147</c:v>
                </c:pt>
                <c:pt idx="2">
                  <c:v>147</c:v>
                </c:pt>
                <c:pt idx="3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7E-4561-A5F4-BC2CF3848277}"/>
            </c:ext>
          </c:extLst>
        </c:ser>
        <c:ser>
          <c:idx val="2"/>
          <c:order val="2"/>
          <c:tx>
            <c:strRef>
              <c:f>'6. 고용'!$C$36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5.0925337632079971E-17"/>
                  <c:y val="2.8673835125447984E-2"/>
                </c:manualLayout>
              </c:layout>
              <c:spPr>
                <a:noFill/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636-4343-89BA-90078AE435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'6. 고용'!$D$32:$G$32</c:f>
              <c:strCache>
                <c:ptCount val="4"/>
                <c:pt idx="0">
                  <c:v>1분기</c:v>
                </c:pt>
                <c:pt idx="1">
                  <c:v>2분기</c:v>
                </c:pt>
                <c:pt idx="2">
                  <c:v>3분기</c:v>
                </c:pt>
                <c:pt idx="3">
                  <c:v>4분기</c:v>
                </c:pt>
              </c:strCache>
            </c:strRef>
          </c:cat>
          <c:val>
            <c:numRef>
              <c:f>'6. 고용'!$D$36:$G$36</c:f>
              <c:numCache>
                <c:formatCode>_(* #,##0_);_(* \(#,##0\);_(* "-"_);_(@_)</c:formatCode>
                <c:ptCount val="4"/>
                <c:pt idx="0">
                  <c:v>114</c:v>
                </c:pt>
                <c:pt idx="1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7E-4561-A5F4-BC2CF38482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2209535"/>
        <c:axId val="342213279"/>
      </c:barChart>
      <c:catAx>
        <c:axId val="34220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2213279"/>
        <c:crosses val="autoZero"/>
        <c:auto val="1"/>
        <c:lblAlgn val="ctr"/>
        <c:lblOffset val="100"/>
        <c:noMultiLvlLbl val="0"/>
      </c:catAx>
      <c:valAx>
        <c:axId val="342213279"/>
        <c:scaling>
          <c:orientation val="minMax"/>
          <c:max val="200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220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603390201224845E-2"/>
          <c:y val="2.8673835125448029E-2"/>
          <c:w val="0.43959864391951003"/>
          <c:h val="8.06457257358959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73781831147999"/>
          <c:y val="7.6597039953339163E-2"/>
          <c:w val="0.87526218168851999"/>
          <c:h val="0.7539741907261592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6"/>
              <c:spPr>
                <a:noFill/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3324-47D1-8ACA-3904BF6C4668}"/>
                </c:ext>
              </c:extLst>
            </c:dLbl>
            <c:dLbl>
              <c:idx val="7"/>
              <c:spPr>
                <a:noFill/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324-47D1-8ACA-3904BF6C4668}"/>
                </c:ext>
              </c:extLst>
            </c:dLbl>
            <c:dLbl>
              <c:idx val="8"/>
              <c:spPr>
                <a:noFill/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324-47D1-8ACA-3904BF6C46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 세계식량자가격'!$P$6:$X$6</c:f>
              <c:strCache>
                <c:ptCount val="9"/>
                <c:pt idx="0">
                  <c:v>'25.10월</c:v>
                </c:pt>
                <c:pt idx="1">
                  <c:v>11월</c:v>
                </c:pt>
                <c:pt idx="2">
                  <c:v>12월</c:v>
                </c:pt>
                <c:pt idx="3">
                  <c:v>26.1월</c:v>
                </c:pt>
                <c:pt idx="4">
                  <c:v>2월</c:v>
                </c:pt>
                <c:pt idx="5">
                  <c:v>3월</c:v>
                </c:pt>
                <c:pt idx="6">
                  <c:v>4월</c:v>
                </c:pt>
                <c:pt idx="7">
                  <c:v>5월</c:v>
                </c:pt>
                <c:pt idx="8">
                  <c:v>6월</c:v>
                </c:pt>
              </c:strCache>
            </c:strRef>
          </c:cat>
          <c:val>
            <c:numRef>
              <c:f>'7. 세계식량자가격'!$P$7:$X$7</c:f>
              <c:numCache>
                <c:formatCode>_(* #,##0_);_(* \(#,##0\);_(* "-"_);_(@_)</c:formatCode>
                <c:ptCount val="9"/>
                <c:pt idx="0">
                  <c:v>1424</c:v>
                </c:pt>
                <c:pt idx="1">
                  <c:v>1471</c:v>
                </c:pt>
                <c:pt idx="2">
                  <c:v>1439</c:v>
                </c:pt>
                <c:pt idx="3">
                  <c:v>1440</c:v>
                </c:pt>
                <c:pt idx="4">
                  <c:v>1440</c:v>
                </c:pt>
                <c:pt idx="5">
                  <c:v>1530</c:v>
                </c:pt>
                <c:pt idx="6">
                  <c:v>1483</c:v>
                </c:pt>
                <c:pt idx="7">
                  <c:v>1508</c:v>
                </c:pt>
                <c:pt idx="8">
                  <c:v>1549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E8-47FD-8BCC-44C479CBD2C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42220767"/>
        <c:axId val="342212863"/>
      </c:lineChart>
      <c:catAx>
        <c:axId val="34222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2212863"/>
        <c:crosses val="autoZero"/>
        <c:auto val="1"/>
        <c:lblAlgn val="ctr"/>
        <c:lblOffset val="100"/>
        <c:noMultiLvlLbl val="0"/>
      </c:catAx>
      <c:valAx>
        <c:axId val="342212863"/>
        <c:scaling>
          <c:orientation val="minMax"/>
          <c:min val="14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2220767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262462978644526E-2"/>
          <c:y val="9.5115558471857695E-2"/>
          <c:w val="0.88919553595126455"/>
          <c:h val="0.7215667833187517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6"/>
              <c:spPr>
                <a:noFill/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05B1-419F-A4A8-49BB3F793D82}"/>
                </c:ext>
              </c:extLst>
            </c:dLbl>
            <c:dLbl>
              <c:idx val="7"/>
              <c:spPr>
                <a:noFill/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5B1-419F-A4A8-49BB3F793D82}"/>
                </c:ext>
              </c:extLst>
            </c:dLbl>
            <c:dLbl>
              <c:idx val="8"/>
              <c:spPr>
                <a:noFill/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05B1-419F-A4A8-49BB3F793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 세계식량자가격'!$P$11:$X$11</c:f>
              <c:strCache>
                <c:ptCount val="9"/>
                <c:pt idx="0">
                  <c:v>'25.10월</c:v>
                </c:pt>
                <c:pt idx="1">
                  <c:v>11월</c:v>
                </c:pt>
                <c:pt idx="2">
                  <c:v>12월</c:v>
                </c:pt>
                <c:pt idx="3">
                  <c:v>26.1월</c:v>
                </c:pt>
                <c:pt idx="4">
                  <c:v>2월</c:v>
                </c:pt>
                <c:pt idx="5">
                  <c:v>3월</c:v>
                </c:pt>
                <c:pt idx="6">
                  <c:v>4월</c:v>
                </c:pt>
                <c:pt idx="7">
                  <c:v>5월</c:v>
                </c:pt>
                <c:pt idx="8">
                  <c:v>6월</c:v>
                </c:pt>
              </c:strCache>
            </c:strRef>
          </c:cat>
          <c:val>
            <c:numRef>
              <c:f>'7. 세계식량자가격'!$P$12:$X$12</c:f>
              <c:numCache>
                <c:formatCode>General</c:formatCode>
                <c:ptCount val="9"/>
                <c:pt idx="0">
                  <c:v>126.4</c:v>
                </c:pt>
                <c:pt idx="1">
                  <c:v>125.2</c:v>
                </c:pt>
                <c:pt idx="2">
                  <c:v>124.5</c:v>
                </c:pt>
                <c:pt idx="3">
                  <c:v>124.1</c:v>
                </c:pt>
                <c:pt idx="4">
                  <c:v>125.5</c:v>
                </c:pt>
                <c:pt idx="5">
                  <c:v>128.69999999999999</c:v>
                </c:pt>
                <c:pt idx="6">
                  <c:v>131</c:v>
                </c:pt>
                <c:pt idx="7">
                  <c:v>130.80000000000001</c:v>
                </c:pt>
                <c:pt idx="8">
                  <c:v>130.30000000000001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32-4D95-A64C-D5C616EBE3C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80555695"/>
        <c:axId val="480546959"/>
      </c:lineChart>
      <c:catAx>
        <c:axId val="480555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spc="-1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80546959"/>
        <c:crosses val="autoZero"/>
        <c:auto val="1"/>
        <c:lblAlgn val="ctr"/>
        <c:lblOffset val="100"/>
        <c:noMultiLvlLbl val="0"/>
      </c:catAx>
      <c:valAx>
        <c:axId val="480546959"/>
        <c:scaling>
          <c:orientation val="minMax"/>
          <c:max val="135"/>
          <c:min val="12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80555695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038416006399976E-2"/>
          <c:y val="0.14366666805723108"/>
          <c:w val="0.87973947580009781"/>
          <c:h val="0.68840106203725016"/>
        </c:manualLayout>
      </c:layout>
      <c:lineChart>
        <c:grouping val="standard"/>
        <c:varyColors val="0"/>
        <c:ser>
          <c:idx val="0"/>
          <c:order val="0"/>
          <c:tx>
            <c:strRef>
              <c:f>'7. 수출입물가지수'!$B$30</c:f>
              <c:strCache>
                <c:ptCount val="1"/>
                <c:pt idx="0">
                  <c:v>수출물가지수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7117749019195869E-2"/>
                  <c:y val="5.62317701745929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439-46F6-B2E3-1F9D67D04926}"/>
                </c:ext>
              </c:extLst>
            </c:dLbl>
            <c:dLbl>
              <c:idx val="1"/>
              <c:layout>
                <c:manualLayout>
                  <c:x val="-5.7117749019195883E-2"/>
                  <c:y val="4.6598951236319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439-46F6-B2E3-1F9D67D04926}"/>
                </c:ext>
              </c:extLst>
            </c:dLbl>
            <c:dLbl>
              <c:idx val="2"/>
              <c:layout>
                <c:manualLayout>
                  <c:x val="-6.2249041418014475E-2"/>
                  <c:y val="4.65989512363192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39-46F6-B2E3-1F9D67D04926}"/>
                </c:ext>
              </c:extLst>
            </c:dLbl>
            <c:dLbl>
              <c:idx val="3"/>
              <c:layout>
                <c:manualLayout>
                  <c:x val="-5.7117749019195883E-2"/>
                  <c:y val="-0.11715897071433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39-46F6-B2E3-1F9D67D04926}"/>
                </c:ext>
              </c:extLst>
            </c:dLbl>
            <c:dLbl>
              <c:idx val="4"/>
              <c:layout>
                <c:manualLayout>
                  <c:x val="-5.7117749019195883E-2"/>
                  <c:y val="-0.102709742306923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39-46F6-B2E3-1F9D67D04926}"/>
                </c:ext>
              </c:extLst>
            </c:dLbl>
            <c:dLbl>
              <c:idx val="5"/>
              <c:layout>
                <c:manualLayout>
                  <c:x val="-5.7117749019195883E-2"/>
                  <c:y val="-9.30769233686499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39-46F6-B2E3-1F9D67D04926}"/>
                </c:ext>
              </c:extLst>
            </c:dLbl>
            <c:dLbl>
              <c:idx val="6"/>
              <c:spPr>
                <a:noFill/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D439-46F6-B2E3-1F9D67D04926}"/>
                </c:ext>
              </c:extLst>
            </c:dLbl>
            <c:dLbl>
              <c:idx val="7"/>
              <c:spPr>
                <a:noFill/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D439-46F6-B2E3-1F9D67D04926}"/>
                </c:ext>
              </c:extLst>
            </c:dLbl>
            <c:dLbl>
              <c:idx val="8"/>
              <c:spPr>
                <a:noFill/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D439-46F6-B2E3-1F9D67D049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 수출입물가지수'!$L$29:$T$29</c:f>
              <c:strCache>
                <c:ptCount val="9"/>
                <c:pt idx="0">
                  <c:v>'25.10월</c:v>
                </c:pt>
                <c:pt idx="1">
                  <c:v>11월</c:v>
                </c:pt>
                <c:pt idx="2">
                  <c:v>12월</c:v>
                </c:pt>
                <c:pt idx="3">
                  <c:v>'26.1월</c:v>
                </c:pt>
                <c:pt idx="4">
                  <c:v>2월</c:v>
                </c:pt>
                <c:pt idx="5">
                  <c:v>3월</c:v>
                </c:pt>
                <c:pt idx="6">
                  <c:v>4월</c:v>
                </c:pt>
                <c:pt idx="7">
                  <c:v>5월</c:v>
                </c:pt>
                <c:pt idx="8">
                  <c:v>6월</c:v>
                </c:pt>
              </c:strCache>
            </c:strRef>
          </c:cat>
          <c:val>
            <c:numRef>
              <c:f>'7. 수출입물가지수'!$L$30:$T$30</c:f>
              <c:numCache>
                <c:formatCode>0.0_);[Red]\(0.0\)</c:formatCode>
                <c:ptCount val="9"/>
                <c:pt idx="0">
                  <c:v>134.69999999999999</c:v>
                </c:pt>
                <c:pt idx="1">
                  <c:v>139.41999999999999</c:v>
                </c:pt>
                <c:pt idx="2">
                  <c:v>140.28</c:v>
                </c:pt>
                <c:pt idx="3">
                  <c:v>145.86000000000001</c:v>
                </c:pt>
                <c:pt idx="4">
                  <c:v>149.5</c:v>
                </c:pt>
                <c:pt idx="5">
                  <c:v>174.92</c:v>
                </c:pt>
                <c:pt idx="6">
                  <c:v>188.02</c:v>
                </c:pt>
                <c:pt idx="7">
                  <c:v>188.82</c:v>
                </c:pt>
                <c:pt idx="8">
                  <c:v>188.9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7C-4E26-A9C6-795F9217F0AE}"/>
            </c:ext>
          </c:extLst>
        </c:ser>
        <c:ser>
          <c:idx val="1"/>
          <c:order val="1"/>
          <c:tx>
            <c:strRef>
              <c:f>'7. 수출입물가지수'!$B$31</c:f>
              <c:strCache>
                <c:ptCount val="1"/>
                <c:pt idx="0">
                  <c:v>수입물가지수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1986456620377278E-2"/>
                  <c:y val="-0.1075261517760605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39-46F6-B2E3-1F9D67D04926}"/>
                </c:ext>
              </c:extLst>
            </c:dLbl>
            <c:dLbl>
              <c:idx val="1"/>
              <c:layout>
                <c:manualLayout>
                  <c:x val="-5.7117749019195883E-2"/>
                  <c:y val="-0.1075261517760604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39-46F6-B2E3-1F9D67D04926}"/>
                </c:ext>
              </c:extLst>
            </c:dLbl>
            <c:dLbl>
              <c:idx val="2"/>
              <c:layout>
                <c:manualLayout>
                  <c:x val="-5.1986456620377292E-2"/>
                  <c:y val="-0.11715897071433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39-46F6-B2E3-1F9D67D04926}"/>
                </c:ext>
              </c:extLst>
            </c:dLbl>
            <c:dLbl>
              <c:idx val="3"/>
              <c:layout>
                <c:manualLayout>
                  <c:x val="-6.2249041418014517E-2"/>
                  <c:y val="5.14153607054560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39-46F6-B2E3-1F9D67D04926}"/>
                </c:ext>
              </c:extLst>
            </c:dLbl>
            <c:dLbl>
              <c:idx val="4"/>
              <c:layout>
                <c:manualLayout>
                  <c:x val="-5.7117749019195883E-2"/>
                  <c:y val="5.62317701745930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439-46F6-B2E3-1F9D67D04926}"/>
                </c:ext>
              </c:extLst>
            </c:dLbl>
            <c:dLbl>
              <c:idx val="5"/>
              <c:layout>
                <c:manualLayout>
                  <c:x val="-0.1032993806085632"/>
                  <c:y val="-4.49128286772812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39-46F6-B2E3-1F9D67D04926}"/>
                </c:ext>
              </c:extLst>
            </c:dLbl>
            <c:dLbl>
              <c:idx val="6"/>
              <c:spPr>
                <a:noFill/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D439-46F6-B2E3-1F9D67D04926}"/>
                </c:ext>
              </c:extLst>
            </c:dLbl>
            <c:dLbl>
              <c:idx val="7"/>
              <c:spPr>
                <a:noFill/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D439-46F6-B2E3-1F9D67D04926}"/>
                </c:ext>
              </c:extLst>
            </c:dLbl>
            <c:dLbl>
              <c:idx val="8"/>
              <c:spPr>
                <a:noFill/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D439-46F6-B2E3-1F9D67D049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 수출입물가지수'!$L$29:$T$29</c:f>
              <c:strCache>
                <c:ptCount val="9"/>
                <c:pt idx="0">
                  <c:v>'25.10월</c:v>
                </c:pt>
                <c:pt idx="1">
                  <c:v>11월</c:v>
                </c:pt>
                <c:pt idx="2">
                  <c:v>12월</c:v>
                </c:pt>
                <c:pt idx="3">
                  <c:v>'26.1월</c:v>
                </c:pt>
                <c:pt idx="4">
                  <c:v>2월</c:v>
                </c:pt>
                <c:pt idx="5">
                  <c:v>3월</c:v>
                </c:pt>
                <c:pt idx="6">
                  <c:v>4월</c:v>
                </c:pt>
                <c:pt idx="7">
                  <c:v>5월</c:v>
                </c:pt>
                <c:pt idx="8">
                  <c:v>6월</c:v>
                </c:pt>
              </c:strCache>
            </c:strRef>
          </c:cat>
          <c:val>
            <c:numRef>
              <c:f>'7. 수출입물가지수'!$L$31:$T$31</c:f>
              <c:numCache>
                <c:formatCode>0.0_);[Red]\(0.0\)</c:formatCode>
                <c:ptCount val="9"/>
                <c:pt idx="0">
                  <c:v>138.19</c:v>
                </c:pt>
                <c:pt idx="1">
                  <c:v>141.47</c:v>
                </c:pt>
                <c:pt idx="2">
                  <c:v>142.68</c:v>
                </c:pt>
                <c:pt idx="3">
                  <c:v>143.74</c:v>
                </c:pt>
                <c:pt idx="4">
                  <c:v>145.88</c:v>
                </c:pt>
                <c:pt idx="5">
                  <c:v>172.16</c:v>
                </c:pt>
                <c:pt idx="6">
                  <c:v>168.49</c:v>
                </c:pt>
                <c:pt idx="7">
                  <c:v>168.78</c:v>
                </c:pt>
                <c:pt idx="8">
                  <c:v>161.34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7C-4E26-A9C6-795F9217F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0588639"/>
        <c:axId val="1590576575"/>
      </c:lineChart>
      <c:catAx>
        <c:axId val="159058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-1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0576575"/>
        <c:crosses val="autoZero"/>
        <c:auto val="1"/>
        <c:lblAlgn val="ctr"/>
        <c:lblOffset val="100"/>
        <c:noMultiLvlLbl val="0"/>
      </c:catAx>
      <c:valAx>
        <c:axId val="1590576575"/>
        <c:scaling>
          <c:orientation val="minMax"/>
          <c:max val="190"/>
          <c:min val="130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0588639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ayout>
        <c:manualLayout>
          <c:xMode val="edge"/>
          <c:yMode val="edge"/>
          <c:x val="0"/>
          <c:y val="2.8368794326241134E-2"/>
          <c:w val="0.5689652045067588"/>
          <c:h val="7.97877924833863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Sheet1!$E$9:$E$13</c:f>
              <c:strCache>
                <c:ptCount val="5"/>
                <c:pt idx="0">
                  <c:v>금융건전성 규제 수준</c:v>
                </c:pt>
                <c:pt idx="1">
                  <c:v>지니계수</c:v>
                </c:pt>
                <c:pt idx="2">
                  <c:v>연령대별 인구비중</c:v>
                </c:pt>
                <c:pt idx="3">
                  <c:v>기대수명</c:v>
                </c:pt>
                <c:pt idx="4">
                  <c:v>GDP 대비 가계부채 비율 상승폭</c:v>
                </c:pt>
              </c:strCache>
            </c:strRef>
          </c:cat>
          <c:val>
            <c:numRef>
              <c:f>Sheet1!$F$9:$F$13</c:f>
              <c:numCache>
                <c:formatCode>0.0%</c:formatCode>
                <c:ptCount val="5"/>
                <c:pt idx="0">
                  <c:v>-2.3E-2</c:v>
                </c:pt>
                <c:pt idx="1">
                  <c:v>0.01</c:v>
                </c:pt>
                <c:pt idx="2">
                  <c:v>0.04</c:v>
                </c:pt>
                <c:pt idx="3">
                  <c:v>0.28599999999999998</c:v>
                </c:pt>
                <c:pt idx="4">
                  <c:v>0.33800000000000002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8-45F0-9826-942FF7560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0632624"/>
        <c:axId val="1720633040"/>
      </c:barChart>
      <c:catAx>
        <c:axId val="1720632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20633040"/>
        <c:crosses val="autoZero"/>
        <c:auto val="1"/>
        <c:lblAlgn val="ctr"/>
        <c:lblOffset val="100"/>
        <c:noMultiLvlLbl val="0"/>
      </c:catAx>
      <c:valAx>
        <c:axId val="1720633040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2063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1120588</xdr:colOff>
      <xdr:row>29</xdr:row>
      <xdr:rowOff>145677</xdr:rowOff>
    </xdr:from>
    <xdr:to>
      <xdr:col>2</xdr:col>
      <xdr:colOff>1826559</xdr:colOff>
      <xdr:row>41</xdr:row>
      <xdr:rowOff>199465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1323975</xdr:colOff>
      <xdr:row>32</xdr:row>
      <xdr:rowOff>47625</xdr:rowOff>
    </xdr:from>
    <xdr:to>
      <xdr:col>2</xdr:col>
      <xdr:colOff>1619250</xdr:colOff>
      <xdr:row>33</xdr:row>
      <xdr:rowOff>28575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F0C8B33-954B-40A1-BEB5-54B64F40C3C5}"/>
            </a:ext>
          </a:extLst>
        </xdr:cNvPr>
        <xdr:cNvSpPr/>
      </xdr:nvSpPr>
      <xdr:spPr>
        <a:xfrm>
          <a:off x="5191125" y="7058025"/>
          <a:ext cx="295275" cy="200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0.06947</cdr:x>
      <cdr:y>0.89724</cdr:y>
    </cdr:from>
    <cdr:to>
      <cdr:x>0.18402</cdr:x>
      <cdr:y>0.98246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D832BDE-5795-4556-9069-3160D4494EDD}"/>
            </a:ext>
          </a:extLst>
        </cdr:cNvPr>
        <cdr:cNvSpPr txBox="1"/>
      </cdr:nvSpPr>
      <cdr:spPr>
        <a:xfrm xmlns:a="http://schemas.openxmlformats.org/drawingml/2006/main">
          <a:off x="317687" y="2407023"/>
          <a:ext cx="523875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ko-KR" altLang="en-US" sz="1100"/>
        </a:p>
      </cdr:txBody>
    </cdr:sp>
  </cdr:relSizeAnchor>
  <cdr:relSizeAnchor xmlns:cdr="http://schemas.openxmlformats.org/drawingml/2006/chartDrawing">
    <cdr:from>
      <cdr:x>0.04239</cdr:x>
      <cdr:y>0.90079</cdr:y>
    </cdr:from>
    <cdr:to>
      <cdr:x>0.21943</cdr:x>
      <cdr:y>0.99666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74E8152-8447-4E89-AF6B-BB36390F04AB}"/>
            </a:ext>
          </a:extLst>
        </cdr:cNvPr>
        <cdr:cNvSpPr txBox="1"/>
      </cdr:nvSpPr>
      <cdr:spPr>
        <a:xfrm xmlns:a="http://schemas.openxmlformats.org/drawingml/2006/main">
          <a:off x="193862" y="2416547"/>
          <a:ext cx="809625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ko-KR" sz="1200" b="1">
              <a:latin typeface="+mj-ea"/>
              <a:ea typeface="+mj-ea"/>
            </a:rPr>
            <a:t>'25</a:t>
          </a:r>
          <a:r>
            <a:rPr lang="en-US" altLang="ko-KR" sz="1100" b="1">
              <a:latin typeface="+mj-ea"/>
              <a:ea typeface="+mj-ea"/>
            </a:rPr>
            <a:t>. 2</a:t>
          </a:r>
          <a:r>
            <a:rPr lang="en-US" altLang="ko-KR" sz="1200" b="1">
              <a:latin typeface="+mj-ea"/>
              <a:ea typeface="+mj-ea"/>
            </a:rPr>
            <a:t>/4</a:t>
          </a:r>
          <a:endParaRPr lang="ko-KR" altLang="en-US" sz="1200" b="1">
            <a:latin typeface="+mj-ea"/>
            <a:ea typeface="+mj-ea"/>
          </a:endParaRPr>
        </a:p>
      </cdr:txBody>
    </cdr:sp>
  </cdr:relSizeAnchor>
  <cdr:relSizeAnchor xmlns:cdr="http://schemas.openxmlformats.org/drawingml/2006/chartDrawing">
    <cdr:from>
      <cdr:x>0.22564</cdr:x>
      <cdr:y>0.90302</cdr:y>
    </cdr:from>
    <cdr:to>
      <cdr:x>0.40268</cdr:x>
      <cdr:y>0.99889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5DF7BAD-C176-4E88-8245-A3E738D396CB}"/>
            </a:ext>
          </a:extLst>
        </cdr:cNvPr>
        <cdr:cNvSpPr txBox="1"/>
      </cdr:nvSpPr>
      <cdr:spPr>
        <a:xfrm xmlns:a="http://schemas.openxmlformats.org/drawingml/2006/main">
          <a:off x="1031875" y="2422525"/>
          <a:ext cx="809625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100" b="1" baseline="0">
              <a:latin typeface="+mj-ea"/>
              <a:ea typeface="+mj-ea"/>
            </a:rPr>
            <a:t>    </a:t>
          </a:r>
          <a:r>
            <a:rPr lang="en-US" altLang="ko-KR" sz="1200" b="1" baseline="0">
              <a:latin typeface="+mj-ea"/>
              <a:ea typeface="+mj-ea"/>
            </a:rPr>
            <a:t>3</a:t>
          </a:r>
          <a:r>
            <a:rPr lang="en-US" altLang="ko-KR" sz="1200" b="1">
              <a:latin typeface="+mj-ea"/>
              <a:ea typeface="+mj-ea"/>
            </a:rPr>
            <a:t>/4</a:t>
          </a:r>
          <a:endParaRPr lang="ko-KR" altLang="en-US" sz="1200" b="1">
            <a:latin typeface="+mj-ea"/>
            <a:ea typeface="+mj-ea"/>
          </a:endParaRPr>
        </a:p>
      </cdr:txBody>
    </cdr:sp>
  </cdr:relSizeAnchor>
  <cdr:relSizeAnchor xmlns:cdr="http://schemas.openxmlformats.org/drawingml/2006/chartDrawing">
    <cdr:from>
      <cdr:x>0.42355</cdr:x>
      <cdr:y>0.90079</cdr:y>
    </cdr:from>
    <cdr:to>
      <cdr:x>0.58809</cdr:x>
      <cdr:y>0.9647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F5DF7BAD-C176-4E88-8245-A3E738D396CB}"/>
            </a:ext>
          </a:extLst>
        </cdr:cNvPr>
        <cdr:cNvSpPr txBox="1"/>
      </cdr:nvSpPr>
      <cdr:spPr>
        <a:xfrm xmlns:a="http://schemas.openxmlformats.org/drawingml/2006/main">
          <a:off x="1936936" y="2416548"/>
          <a:ext cx="752475" cy="1714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200" b="1" baseline="0">
              <a:latin typeface="+mj-ea"/>
              <a:ea typeface="+mj-ea"/>
            </a:rPr>
            <a:t>   4</a:t>
          </a:r>
          <a:r>
            <a:rPr lang="en-US" altLang="ko-KR" sz="1200" b="1">
              <a:latin typeface="+mj-ea"/>
              <a:ea typeface="+mj-ea"/>
            </a:rPr>
            <a:t>/4</a:t>
          </a:r>
          <a:endParaRPr lang="ko-KR" altLang="en-US" sz="1200" b="1">
            <a:latin typeface="+mj-ea"/>
            <a:ea typeface="+mj-ea"/>
          </a:endParaRPr>
        </a:p>
      </cdr:txBody>
    </cdr:sp>
  </cdr:relSizeAnchor>
  <cdr:relSizeAnchor xmlns:cdr="http://schemas.openxmlformats.org/drawingml/2006/chartDrawing">
    <cdr:from>
      <cdr:x>0.58393</cdr:x>
      <cdr:y>0.89947</cdr:y>
    </cdr:from>
    <cdr:to>
      <cdr:x>0.79008</cdr:x>
      <cdr:y>0.99534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F5DF7BAD-C176-4E88-8245-A3E738D396CB}"/>
            </a:ext>
          </a:extLst>
        </cdr:cNvPr>
        <cdr:cNvSpPr txBox="1"/>
      </cdr:nvSpPr>
      <cdr:spPr>
        <a:xfrm xmlns:a="http://schemas.openxmlformats.org/drawingml/2006/main">
          <a:off x="2670362" y="2412997"/>
          <a:ext cx="942770" cy="257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200" b="1" baseline="0">
              <a:latin typeface="+mj-ea"/>
              <a:ea typeface="+mj-ea"/>
            </a:rPr>
            <a:t>  </a:t>
          </a:r>
          <a:r>
            <a:rPr lang="en-US" altLang="ko-KR" sz="1200" b="1">
              <a:latin typeface="+mj-ea"/>
              <a:ea typeface="+mj-ea"/>
            </a:rPr>
            <a:t> '26. 1/4</a:t>
          </a:r>
          <a:endParaRPr lang="ko-KR" altLang="ko-KR" sz="1200">
            <a:effectLst/>
          </a:endParaRPr>
        </a:p>
        <a:p xmlns:a="http://schemas.openxmlformats.org/drawingml/2006/main">
          <a:endParaRPr lang="ko-KR" altLang="en-US" sz="1200" b="1">
            <a:latin typeface="+mj-ea"/>
            <a:ea typeface="+mj-ea"/>
          </a:endParaRPr>
        </a:p>
      </cdr:txBody>
    </cdr:sp>
  </cdr:relSizeAnchor>
  <cdr:relSizeAnchor xmlns:cdr="http://schemas.openxmlformats.org/drawingml/2006/chartDrawing">
    <cdr:from>
      <cdr:x>0.79633</cdr:x>
      <cdr:y>0.89237</cdr:y>
    </cdr:from>
    <cdr:to>
      <cdr:x>0.97337</cdr:x>
      <cdr:y>0.98823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F5DF7BAD-C176-4E88-8245-A3E738D396CB}"/>
            </a:ext>
          </a:extLst>
        </cdr:cNvPr>
        <cdr:cNvSpPr txBox="1"/>
      </cdr:nvSpPr>
      <cdr:spPr>
        <a:xfrm xmlns:a="http://schemas.openxmlformats.org/drawingml/2006/main">
          <a:off x="3641725" y="2393950"/>
          <a:ext cx="809625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200" b="1">
              <a:latin typeface="+mj-ea"/>
              <a:ea typeface="+mj-ea"/>
            </a:rPr>
            <a:t>'26. 2/4</a:t>
          </a:r>
          <a:endParaRPr lang="ko-KR" altLang="en-US" sz="1200" b="1">
            <a:latin typeface="+mj-ea"/>
            <a:ea typeface="+mj-ea"/>
          </a:endParaRPr>
        </a:p>
      </cdr:txBody>
    </cdr:sp>
  </cdr:relSizeAnchor>
  <cdr:relSizeAnchor xmlns:cdr="http://schemas.openxmlformats.org/drawingml/2006/chartDrawing">
    <cdr:from>
      <cdr:x>0.82345</cdr:x>
      <cdr:y>0.57414</cdr:y>
    </cdr:from>
    <cdr:to>
      <cdr:x>0.90468</cdr:x>
      <cdr:y>0.65936</cdr:y>
    </cdr:to>
    <cdr:sp macro="" textlink="">
      <cdr:nvSpPr>
        <cdr:cNvPr id="9" name="직사각형 8">
          <a:extLst xmlns:a="http://schemas.openxmlformats.org/drawingml/2006/main">
            <a:ext uri="{FF2B5EF4-FFF2-40B4-BE49-F238E27FC236}">
              <a16:creationId xmlns:a16="http://schemas.microsoft.com/office/drawing/2014/main" id="{5B75984D-A056-4BA0-8030-B210DA422A64}"/>
            </a:ext>
          </a:extLst>
        </cdr:cNvPr>
        <cdr:cNvSpPr/>
      </cdr:nvSpPr>
      <cdr:spPr>
        <a:xfrm xmlns:a="http://schemas.openxmlformats.org/drawingml/2006/main">
          <a:off x="3765718" y="1540249"/>
          <a:ext cx="371474" cy="2286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ko-KR"/>
        </a:p>
      </cdr:txBody>
    </cdr:sp>
  </cdr:relSizeAnchor>
  <cdr:relSizeAnchor xmlns:cdr="http://schemas.openxmlformats.org/drawingml/2006/chartDrawing">
    <cdr:from>
      <cdr:x>0.80262</cdr:x>
      <cdr:y>0.03091</cdr:y>
    </cdr:from>
    <cdr:to>
      <cdr:x>0.95259</cdr:x>
      <cdr:y>0.19068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8ED5E787-C6C6-495A-8285-2D8DE6D5BE28}"/>
            </a:ext>
          </a:extLst>
        </cdr:cNvPr>
        <cdr:cNvSpPr txBox="1"/>
      </cdr:nvSpPr>
      <cdr:spPr>
        <a:xfrm xmlns:a="http://schemas.openxmlformats.org/drawingml/2006/main">
          <a:off x="3670478" y="82924"/>
          <a:ext cx="685831" cy="4286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ko-KR" sz="1100"/>
            <a:t>(</a:t>
          </a:r>
          <a:r>
            <a:rPr lang="ko-KR" altLang="en-US" sz="1100"/>
            <a:t>단위</a:t>
          </a:r>
          <a:r>
            <a:rPr lang="en-US" altLang="ko-KR" sz="1100"/>
            <a:t>:%)</a:t>
          </a:r>
          <a:endParaRPr lang="ko-KR" alt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200025</xdr:colOff>
      <xdr:row>18</xdr:row>
      <xdr:rowOff>76200</xdr:rowOff>
    </xdr:from>
    <xdr:to>
      <xdr:col>52</xdr:col>
      <xdr:colOff>57150</xdr:colOff>
      <xdr:row>31</xdr:row>
      <xdr:rowOff>95250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51</xdr:col>
      <xdr:colOff>28574</xdr:colOff>
      <xdr:row>23</xdr:row>
      <xdr:rowOff>130000</xdr:rowOff>
    </xdr:from>
    <xdr:to>
      <xdr:col>51</xdr:col>
      <xdr:colOff>380999</xdr:colOff>
      <xdr:row>24</xdr:row>
      <xdr:rowOff>150000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D28DAC00-569F-45DC-993C-C9246709B319}"/>
            </a:ext>
          </a:extLst>
        </xdr:cNvPr>
        <xdr:cNvSpPr/>
      </xdr:nvSpPr>
      <xdr:spPr>
        <a:xfrm>
          <a:off x="40843199" y="4457700"/>
          <a:ext cx="352425" cy="171450"/>
        </a:xfrm>
        <a:prstGeom prst="rect">
          <a:avLst/>
        </a:prstGeom>
        <a:solidFill>
          <a:srgbClr val="FFFFFF">
            <a:alpha val="0"/>
          </a:srgb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35</xdr:col>
      <xdr:colOff>180975</xdr:colOff>
      <xdr:row>21</xdr:row>
      <xdr:rowOff>123825</xdr:rowOff>
    </xdr:from>
    <xdr:to>
      <xdr:col>36</xdr:col>
      <xdr:colOff>133350</xdr:colOff>
      <xdr:row>23</xdr:row>
      <xdr:rowOff>57151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2F9110-58D3-487B-A6B4-3977DFE83983}"/>
            </a:ext>
          </a:extLst>
        </xdr:cNvPr>
        <xdr:cNvSpPr txBox="1"/>
      </xdr:nvSpPr>
      <xdr:spPr>
        <a:xfrm>
          <a:off x="28174950" y="3905250"/>
          <a:ext cx="828675" cy="257176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000" spc="-100" baseline="0"/>
            <a:t>(</a:t>
          </a:r>
          <a:r>
            <a:rPr lang="ko-KR" altLang="en-US" sz="1000" spc="-100" baseline="0"/>
            <a:t>단위</a:t>
          </a:r>
          <a:r>
            <a:rPr lang="en-US" altLang="ko-KR" sz="1000" spc="-100" baseline="0"/>
            <a:t>:</a:t>
          </a:r>
          <a:r>
            <a:rPr lang="ko-KR" altLang="en-US" sz="1000" spc="-100" baseline="0"/>
            <a:t>십억원</a:t>
          </a:r>
          <a:r>
            <a:rPr lang="en-US" altLang="ko-KR" sz="1000" spc="-100" baseline="0"/>
            <a:t>)</a:t>
          </a:r>
          <a:endParaRPr lang="ko-KR" altLang="en-US" sz="1000" spc="-100" baseline="0"/>
        </a:p>
      </xdr:txBody>
    </xdr:sp>
    <xdr:clientData/>
  </xdr:twoCellAnchor>
  <xdr:twoCellAnchor>
    <xdr:from>
      <xdr:col>50</xdr:col>
      <xdr:colOff>619125</xdr:colOff>
      <xdr:row>21</xdr:row>
      <xdr:rowOff>174800</xdr:rowOff>
    </xdr:from>
    <xdr:to>
      <xdr:col>51</xdr:col>
      <xdr:colOff>447675</xdr:colOff>
      <xdr:row>23</xdr:row>
      <xdr:rowOff>70025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0131126-7E1A-4E24-ABD2-F8BE2A21C7DF}"/>
            </a:ext>
          </a:extLst>
        </xdr:cNvPr>
        <xdr:cNvSpPr txBox="1"/>
      </xdr:nvSpPr>
      <xdr:spPr>
        <a:xfrm>
          <a:off x="40747950" y="4057650"/>
          <a:ext cx="51435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latin typeface="+mj-ea"/>
              <a:ea typeface="+mj-ea"/>
            </a:rPr>
            <a:t>8831</a:t>
          </a:r>
          <a:endParaRPr lang="ko-KR" altLang="en-US" sz="1100" b="1">
            <a:latin typeface="+mj-ea"/>
            <a:ea typeface="+mj-ea"/>
          </a:endParaRPr>
        </a:p>
      </xdr:txBody>
    </xdr:sp>
    <xdr:clientData/>
  </xdr:twoCellAnchor>
  <xdr:twoCellAnchor>
    <xdr:from>
      <xdr:col>50</xdr:col>
      <xdr:colOff>666750</xdr:colOff>
      <xdr:row>22</xdr:row>
      <xdr:rowOff>108125</xdr:rowOff>
    </xdr:from>
    <xdr:to>
      <xdr:col>51</xdr:col>
      <xdr:colOff>352425</xdr:colOff>
      <xdr:row>23</xdr:row>
      <xdr:rowOff>117650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BF4E7A5F-2822-4BBF-B650-61D6CB2A30C8}"/>
            </a:ext>
          </a:extLst>
        </xdr:cNvPr>
        <xdr:cNvSpPr/>
      </xdr:nvSpPr>
      <xdr:spPr>
        <a:xfrm>
          <a:off x="40795575" y="4152900"/>
          <a:ext cx="371475" cy="171450"/>
        </a:xfrm>
        <a:prstGeom prst="rect">
          <a:avLst/>
        </a:prstGeom>
        <a:solidFill>
          <a:srgbClr val="FFFFFF">
            <a:alpha val="0"/>
          </a:srgb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42</xdr:col>
      <xdr:colOff>133350</xdr:colOff>
      <xdr:row>19</xdr:row>
      <xdr:rowOff>28575</xdr:rowOff>
    </xdr:from>
    <xdr:to>
      <xdr:col>43</xdr:col>
      <xdr:colOff>295275</xdr:colOff>
      <xdr:row>20</xdr:row>
      <xdr:rowOff>114300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53B15D6-7538-4527-BDF9-882EDBB7B59D}"/>
            </a:ext>
          </a:extLst>
        </xdr:cNvPr>
        <xdr:cNvSpPr txBox="1"/>
      </xdr:nvSpPr>
      <xdr:spPr>
        <a:xfrm>
          <a:off x="34775775" y="3486150"/>
          <a:ext cx="847725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900" spc="0" baseline="0"/>
            <a:t>(</a:t>
          </a:r>
          <a:r>
            <a:rPr lang="ko-KR" altLang="en-US" sz="900" spc="0" baseline="0"/>
            <a:t>단위</a:t>
          </a:r>
          <a:r>
            <a:rPr lang="en-US" altLang="ko-KR" sz="900" spc="0" baseline="0"/>
            <a:t>:</a:t>
          </a:r>
          <a:r>
            <a:rPr lang="ko-KR" altLang="en-US" sz="900" spc="0" baseline="0"/>
            <a:t>십억원</a:t>
          </a:r>
          <a:r>
            <a:rPr lang="en-US" altLang="ko-KR" sz="900"/>
            <a:t>)</a:t>
          </a:r>
          <a:endParaRPr lang="ko-KR" altLang="en-US" sz="900"/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0.16311</cdr:x>
      <cdr:y>0.06726</cdr:y>
    </cdr:from>
    <cdr:to>
      <cdr:x>0.28231</cdr:x>
      <cdr:y>0.1704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CD512FF-7D20-49B2-90A8-80F0978E02BA}"/>
            </a:ext>
          </a:extLst>
        </cdr:cNvPr>
        <cdr:cNvSpPr txBox="1"/>
      </cdr:nvSpPr>
      <cdr:spPr>
        <a:xfrm xmlns:a="http://schemas.openxmlformats.org/drawingml/2006/main">
          <a:off x="1238250" y="142875"/>
          <a:ext cx="904875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ko-KR" altLang="en-US" sz="1100"/>
        </a:p>
      </cdr:txBody>
    </cdr:sp>
  </cdr:relSizeAnchor>
  <cdr:relSizeAnchor xmlns:cdr="http://schemas.openxmlformats.org/drawingml/2006/chartDrawing">
    <cdr:from>
      <cdr:x>0.15638</cdr:x>
      <cdr:y>0.02242</cdr:y>
    </cdr:from>
    <cdr:to>
      <cdr:x>0.29235</cdr:x>
      <cdr:y>0.1704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69EB047-8A9D-4664-BE28-35D689041F57}"/>
            </a:ext>
          </a:extLst>
        </cdr:cNvPr>
        <cdr:cNvSpPr txBox="1"/>
      </cdr:nvSpPr>
      <cdr:spPr>
        <a:xfrm xmlns:a="http://schemas.openxmlformats.org/drawingml/2006/main">
          <a:off x="1038225" y="47625"/>
          <a:ext cx="902641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ko-KR" altLang="en-US" sz="1100" spc="-100" baseline="0"/>
            <a:t>농림어업</a:t>
          </a:r>
          <a:r>
            <a:rPr lang="en-US" altLang="ko-KR" sz="1100" spc="-100" baseline="0"/>
            <a:t>GDP</a:t>
          </a:r>
          <a:endParaRPr lang="ko-KR" altLang="en-US" sz="1100" spc="-100" baseline="0"/>
        </a:p>
      </cdr:txBody>
    </cdr:sp>
  </cdr:relSizeAnchor>
  <cdr:relSizeAnchor xmlns:cdr="http://schemas.openxmlformats.org/drawingml/2006/chartDrawing">
    <cdr:from>
      <cdr:x>0.32873</cdr:x>
      <cdr:y>0.02691</cdr:y>
    </cdr:from>
    <cdr:to>
      <cdr:x>0.68511</cdr:x>
      <cdr:y>0.17937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2B8960F3-876D-4D7F-8196-9DE7FADF93E9}"/>
            </a:ext>
          </a:extLst>
        </cdr:cNvPr>
        <cdr:cNvSpPr txBox="1"/>
      </cdr:nvSpPr>
      <cdr:spPr>
        <a:xfrm xmlns:a="http://schemas.openxmlformats.org/drawingml/2006/main">
          <a:off x="2207481" y="57150"/>
          <a:ext cx="2393094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ko-KR" altLang="en-US" sz="1100"/>
            <a:t>농림어업경제성장률</a:t>
          </a:r>
          <a:r>
            <a:rPr lang="en-US" altLang="ko-KR" sz="1100"/>
            <a:t>(</a:t>
          </a:r>
          <a:r>
            <a:rPr lang="ko-KR" altLang="en-US" sz="1100"/>
            <a:t>전년동기대비</a:t>
          </a:r>
          <a:r>
            <a:rPr lang="en-US" altLang="ko-KR" sz="1100"/>
            <a:t>)</a:t>
          </a:r>
          <a:endParaRPr lang="ko-KR" altLang="en-US" sz="1100"/>
        </a:p>
      </cdr:txBody>
    </cdr:sp>
  </cdr:relSizeAnchor>
  <cdr:relSizeAnchor xmlns:cdr="http://schemas.openxmlformats.org/drawingml/2006/chartDrawing">
    <cdr:from>
      <cdr:x>0.89929</cdr:x>
      <cdr:y>0.04185</cdr:y>
    </cdr:from>
    <cdr:to>
      <cdr:x>0.98771</cdr:x>
      <cdr:y>0.16293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C82F9110-58D3-487B-A6B4-3977DFE83983}"/>
            </a:ext>
          </a:extLst>
        </cdr:cNvPr>
        <cdr:cNvSpPr txBox="1"/>
      </cdr:nvSpPr>
      <cdr:spPr>
        <a:xfrm xmlns:a="http://schemas.openxmlformats.org/drawingml/2006/main">
          <a:off x="6038850" y="88900"/>
          <a:ext cx="593725" cy="25717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000" spc="-100" baseline="0"/>
            <a:t>(</a:t>
          </a:r>
          <a:r>
            <a:rPr lang="ko-KR" altLang="en-US" sz="1000" spc="-100" baseline="0"/>
            <a:t>단위</a:t>
          </a:r>
          <a:r>
            <a:rPr lang="en-US" altLang="ko-KR" sz="1000" spc="-100" baseline="0"/>
            <a:t>:%)</a:t>
          </a:r>
          <a:endParaRPr lang="ko-KR" altLang="en-US" sz="1000" spc="-100" baseline="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760879</xdr:colOff>
      <xdr:row>19</xdr:row>
      <xdr:rowOff>134470</xdr:rowOff>
    </xdr:from>
    <xdr:to>
      <xdr:col>8</xdr:col>
      <xdr:colOff>290793</xdr:colOff>
      <xdr:row>34</xdr:row>
      <xdr:rowOff>173129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76201</xdr:colOff>
      <xdr:row>50</xdr:row>
      <xdr:rowOff>88527</xdr:rowOff>
    </xdr:from>
    <xdr:to>
      <xdr:col>8</xdr:col>
      <xdr:colOff>381001</xdr:colOff>
      <xdr:row>64</xdr:row>
      <xdr:rowOff>56030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78442</xdr:colOff>
      <xdr:row>40</xdr:row>
      <xdr:rowOff>156882</xdr:rowOff>
    </xdr:from>
    <xdr:ext cx="1792940" cy="29135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6745942" y="8695764"/>
          <a:ext cx="1792940" cy="2913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ko-KR" altLang="en-US" sz="1100">
              <a:solidFill>
                <a:srgbClr val="FF0000"/>
              </a:solidFill>
            </a:rPr>
            <a:t>농식품부 보도자료 안나옴</a:t>
          </a:r>
        </a:p>
      </xdr:txBody>
    </xdr:sp>
    <xdr:clientData/>
  </xdr:oneCellAnchor>
  <xdr:twoCellAnchor>
    <xdr:from>
      <xdr:col>56</xdr:col>
      <xdr:colOff>638734</xdr:colOff>
      <xdr:row>14</xdr:row>
      <xdr:rowOff>33619</xdr:rowOff>
    </xdr:from>
    <xdr:to>
      <xdr:col>59</xdr:col>
      <xdr:colOff>560292</xdr:colOff>
      <xdr:row>16</xdr:row>
      <xdr:rowOff>11207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40117058" y="3036795"/>
          <a:ext cx="1972234" cy="4034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solidFill>
                <a:srgbClr val="FF0000"/>
              </a:solidFill>
            </a:rPr>
            <a:t>보도자료</a:t>
          </a:r>
          <a:r>
            <a:rPr lang="en-US" altLang="ko-KR" sz="1100">
              <a:solidFill>
                <a:srgbClr val="FF0000"/>
              </a:solidFill>
            </a:rPr>
            <a:t>,</a:t>
          </a:r>
          <a:r>
            <a:rPr lang="en-US" altLang="ko-KR" sz="1100" baseline="0">
              <a:solidFill>
                <a:srgbClr val="FF0000"/>
              </a:solidFill>
            </a:rPr>
            <a:t> </a:t>
          </a:r>
          <a:r>
            <a:rPr lang="ko-KR" altLang="en-US" sz="1100" baseline="0">
              <a:solidFill>
                <a:srgbClr val="FF0000"/>
              </a:solidFill>
            </a:rPr>
            <a:t>통계시스템 없음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0</xdr:colOff>
      <xdr:row>108</xdr:row>
      <xdr:rowOff>0</xdr:rowOff>
    </xdr:from>
    <xdr:to>
      <xdr:col>7</xdr:col>
      <xdr:colOff>425824</xdr:colOff>
      <xdr:row>123</xdr:row>
      <xdr:rowOff>38659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C948A11E-4DB6-4DCD-BBF6-D493B7ED20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0.05928</cdr:x>
      <cdr:y>0.90498</cdr:y>
    </cdr:from>
    <cdr:to>
      <cdr:x>0.20749</cdr:x>
      <cdr:y>0.9848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0D9D777-DC32-45FF-9E1C-D9D77B6E73F4}"/>
            </a:ext>
          </a:extLst>
        </cdr:cNvPr>
        <cdr:cNvSpPr txBox="1"/>
      </cdr:nvSpPr>
      <cdr:spPr>
        <a:xfrm xmlns:a="http://schemas.openxmlformats.org/drawingml/2006/main">
          <a:off x="327213" y="2668122"/>
          <a:ext cx="818028" cy="2353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ko-KR" sz="1400" b="1"/>
            <a:t>'22.</a:t>
          </a:r>
          <a:r>
            <a:rPr lang="en-US" altLang="ko-KR" sz="1400" b="1" baseline="0"/>
            <a:t> 2/4</a:t>
          </a:r>
          <a:endParaRPr lang="ko-KR" altLang="en-US" sz="1400" b="1"/>
        </a:p>
      </cdr:txBody>
    </cdr:sp>
  </cdr:relSizeAnchor>
  <cdr:relSizeAnchor xmlns:cdr="http://schemas.openxmlformats.org/drawingml/2006/chartDrawing">
    <cdr:from>
      <cdr:x>0.24674</cdr:x>
      <cdr:y>0.89902</cdr:y>
    </cdr:from>
    <cdr:to>
      <cdr:x>0.39495</cdr:x>
      <cdr:y>0.97884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FC715D1-5929-4EF3-8E02-B4FD65156777}"/>
            </a:ext>
          </a:extLst>
        </cdr:cNvPr>
        <cdr:cNvSpPr txBox="1"/>
      </cdr:nvSpPr>
      <cdr:spPr>
        <a:xfrm xmlns:a="http://schemas.openxmlformats.org/drawingml/2006/main">
          <a:off x="1361889" y="2650565"/>
          <a:ext cx="818028" cy="2353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400" b="1"/>
            <a:t>'23.</a:t>
          </a:r>
          <a:r>
            <a:rPr lang="en-US" altLang="ko-KR" sz="1400" b="1" baseline="0"/>
            <a:t> 2/4</a:t>
          </a:r>
          <a:endParaRPr lang="ko-KR" altLang="en-US" sz="1400" b="1"/>
        </a:p>
      </cdr:txBody>
    </cdr:sp>
  </cdr:relSizeAnchor>
  <cdr:relSizeAnchor xmlns:cdr="http://schemas.openxmlformats.org/drawingml/2006/chartDrawing">
    <cdr:from>
      <cdr:x>0.44571</cdr:x>
      <cdr:y>0.90283</cdr:y>
    </cdr:from>
    <cdr:to>
      <cdr:x>0.59392</cdr:x>
      <cdr:y>0.98264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8AF63CEC-9FE9-4474-B1AA-71B8E794136E}"/>
            </a:ext>
          </a:extLst>
        </cdr:cNvPr>
        <cdr:cNvSpPr txBox="1"/>
      </cdr:nvSpPr>
      <cdr:spPr>
        <a:xfrm xmlns:a="http://schemas.openxmlformats.org/drawingml/2006/main">
          <a:off x="2460065" y="2661771"/>
          <a:ext cx="818028" cy="2353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400" b="1"/>
            <a:t>'24.</a:t>
          </a:r>
          <a:r>
            <a:rPr lang="en-US" altLang="ko-KR" sz="1400" b="1" baseline="0"/>
            <a:t> 2/4</a:t>
          </a:r>
          <a:endParaRPr lang="ko-KR" altLang="en-US" sz="1400" b="1"/>
        </a:p>
      </cdr:txBody>
    </cdr:sp>
  </cdr:relSizeAnchor>
  <cdr:relSizeAnchor xmlns:cdr="http://schemas.openxmlformats.org/drawingml/2006/chartDrawing">
    <cdr:from>
      <cdr:x>0.62437</cdr:x>
      <cdr:y>0.89902</cdr:y>
    </cdr:from>
    <cdr:to>
      <cdr:x>0.77258</cdr:x>
      <cdr:y>0.97884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8AF63CEC-9FE9-4474-B1AA-71B8E794136E}"/>
            </a:ext>
          </a:extLst>
        </cdr:cNvPr>
        <cdr:cNvSpPr txBox="1"/>
      </cdr:nvSpPr>
      <cdr:spPr>
        <a:xfrm xmlns:a="http://schemas.openxmlformats.org/drawingml/2006/main">
          <a:off x="3446183" y="2650565"/>
          <a:ext cx="818028" cy="2353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400" b="1"/>
            <a:t>'25.</a:t>
          </a:r>
          <a:r>
            <a:rPr lang="en-US" altLang="ko-KR" sz="1400" b="1" baseline="0"/>
            <a:t> 2/4</a:t>
          </a:r>
          <a:endParaRPr lang="ko-KR" altLang="en-US" sz="1400" b="1"/>
        </a:p>
      </cdr:txBody>
    </cdr:sp>
  </cdr:relSizeAnchor>
  <cdr:relSizeAnchor xmlns:cdr="http://schemas.openxmlformats.org/drawingml/2006/chartDrawing">
    <cdr:from>
      <cdr:x>0.8213</cdr:x>
      <cdr:y>0.89522</cdr:y>
    </cdr:from>
    <cdr:to>
      <cdr:x>0.96951</cdr:x>
      <cdr:y>0.97504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8AF63CEC-9FE9-4474-B1AA-71B8E794136E}"/>
            </a:ext>
          </a:extLst>
        </cdr:cNvPr>
        <cdr:cNvSpPr txBox="1"/>
      </cdr:nvSpPr>
      <cdr:spPr>
        <a:xfrm xmlns:a="http://schemas.openxmlformats.org/drawingml/2006/main">
          <a:off x="4533154" y="2639359"/>
          <a:ext cx="818028" cy="2353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400" b="1"/>
            <a:t>'26.</a:t>
          </a:r>
          <a:r>
            <a:rPr lang="en-US" altLang="ko-KR" sz="1400" b="1" baseline="0"/>
            <a:t> 2/4</a:t>
          </a:r>
          <a:endParaRPr lang="ko-KR" altLang="en-US" sz="1400" b="1"/>
        </a:p>
      </cdr:txBody>
    </cdr:sp>
  </cdr:relSizeAnchor>
  <cdr:relSizeAnchor xmlns:cdr="http://schemas.openxmlformats.org/drawingml/2006/chartDrawing">
    <cdr:from>
      <cdr:x>0.56629</cdr:x>
      <cdr:y>0.00798</cdr:y>
    </cdr:from>
    <cdr:to>
      <cdr:x>1</cdr:x>
      <cdr:y>0.103</cdr:y>
    </cdr:to>
    <cdr:sp macro="" textlink="">
      <cdr:nvSpPr>
        <cdr:cNvPr id="15" name="TextBox 14">
          <a:extLst xmlns:a="http://schemas.openxmlformats.org/drawingml/2006/main">
            <a:ext uri="{FF2B5EF4-FFF2-40B4-BE49-F238E27FC236}">
              <a16:creationId xmlns:a16="http://schemas.microsoft.com/office/drawing/2014/main" id="{504C0C3C-657C-468F-B308-DE96F0D6F5CE}"/>
            </a:ext>
          </a:extLst>
        </cdr:cNvPr>
        <cdr:cNvSpPr txBox="1"/>
      </cdr:nvSpPr>
      <cdr:spPr>
        <a:xfrm xmlns:a="http://schemas.openxmlformats.org/drawingml/2006/main">
          <a:off x="3072652" y="23531"/>
          <a:ext cx="2353236" cy="2801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ko-KR" sz="1200" b="1"/>
            <a:t>(</a:t>
          </a:r>
          <a:r>
            <a:rPr lang="ko-KR" altLang="en-US" sz="1200" b="1"/>
            <a:t>단위</a:t>
          </a:r>
          <a:r>
            <a:rPr lang="en-US" altLang="ko-KR" sz="1200" b="1"/>
            <a:t>:</a:t>
          </a:r>
          <a:r>
            <a:rPr lang="ko-KR" altLang="en-US" sz="1200" b="1"/>
            <a:t>억달러</a:t>
          </a:r>
          <a:r>
            <a:rPr lang="en-US" altLang="ko-KR" sz="1200" b="1"/>
            <a:t>, </a:t>
          </a:r>
          <a:r>
            <a:rPr lang="ko-KR" altLang="en-US" sz="1200" b="1"/>
            <a:t>전년동기대비</a:t>
          </a:r>
          <a:r>
            <a:rPr lang="en-US" altLang="ko-KR" sz="1200" b="1"/>
            <a:t>, %)</a:t>
          </a:r>
          <a:endParaRPr lang="ko-KR" altLang="en-US" sz="1200" b="1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0.41708</cdr:x>
      <cdr:y>0.35855</cdr:y>
    </cdr:from>
    <cdr:to>
      <cdr:x>0.58292</cdr:x>
      <cdr:y>0.64145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1059F48-E0B9-4982-B1EB-C1B12106AAAC}"/>
            </a:ext>
          </a:extLst>
        </cdr:cNvPr>
        <cdr:cNvSpPr txBox="1"/>
      </cdr:nvSpPr>
      <cdr:spPr>
        <a:xfrm xmlns:a="http://schemas.openxmlformats.org/drawingml/2006/main">
          <a:off x="2299727" y="115896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ko-KR" altLang="en-US" sz="1100"/>
        </a:p>
      </cdr:txBody>
    </cdr:sp>
  </cdr:relSizeAnchor>
  <cdr:relSizeAnchor xmlns:cdr="http://schemas.openxmlformats.org/drawingml/2006/chartDrawing">
    <cdr:from>
      <cdr:x>0.14633</cdr:x>
      <cdr:y>0.63789</cdr:y>
    </cdr:from>
    <cdr:to>
      <cdr:x>0.25201</cdr:x>
      <cdr:y>0.71416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71505A1-964E-477F-A0B7-097A8FB91913}"/>
            </a:ext>
          </a:extLst>
        </cdr:cNvPr>
        <cdr:cNvSpPr txBox="1"/>
      </cdr:nvSpPr>
      <cdr:spPr>
        <a:xfrm xmlns:a="http://schemas.openxmlformats.org/drawingml/2006/main">
          <a:off x="806823" y="2061881"/>
          <a:ext cx="582706" cy="2465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ko-KR" altLang="en-US" sz="1100"/>
        </a:p>
      </cdr:txBody>
    </cdr:sp>
  </cdr:relSizeAnchor>
  <cdr:relSizeAnchor xmlns:cdr="http://schemas.openxmlformats.org/drawingml/2006/chartDrawing">
    <cdr:from>
      <cdr:x>0.03048</cdr:x>
      <cdr:y>0.9083</cdr:y>
    </cdr:from>
    <cdr:to>
      <cdr:x>0.17478</cdr:x>
      <cdr:y>0.98804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9233A034-8BEE-44BB-8A23-367D8A634F11}"/>
            </a:ext>
          </a:extLst>
        </cdr:cNvPr>
        <cdr:cNvSpPr txBox="1"/>
      </cdr:nvSpPr>
      <cdr:spPr>
        <a:xfrm xmlns:a="http://schemas.openxmlformats.org/drawingml/2006/main">
          <a:off x="168088" y="2935942"/>
          <a:ext cx="795618" cy="2577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ko-KR" altLang="en-US" sz="1100"/>
        </a:p>
      </cdr:txBody>
    </cdr:sp>
  </cdr:relSizeAnchor>
  <cdr:relSizeAnchor xmlns:cdr="http://schemas.openxmlformats.org/drawingml/2006/chartDrawing">
    <cdr:from>
      <cdr:x>0.02439</cdr:x>
      <cdr:y>0.88404</cdr:y>
    </cdr:from>
    <cdr:to>
      <cdr:x>0.17884</cdr:x>
      <cdr:y>0.99151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00DCE87C-3148-4800-AB2B-7228287564EB}"/>
            </a:ext>
          </a:extLst>
        </cdr:cNvPr>
        <cdr:cNvSpPr txBox="1"/>
      </cdr:nvSpPr>
      <cdr:spPr>
        <a:xfrm xmlns:a="http://schemas.openxmlformats.org/drawingml/2006/main">
          <a:off x="134470" y="2857500"/>
          <a:ext cx="851647" cy="3473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ko-KR" sz="1400" b="1">
              <a:latin typeface="+mj-ea"/>
              <a:ea typeface="+mj-ea"/>
            </a:rPr>
            <a:t>'22.</a:t>
          </a:r>
          <a:r>
            <a:rPr lang="en-US" altLang="ko-KR" sz="1400" b="1" baseline="0">
              <a:latin typeface="+mj-ea"/>
              <a:ea typeface="+mj-ea"/>
            </a:rPr>
            <a:t> 2/4</a:t>
          </a:r>
          <a:endParaRPr lang="ko-KR" altLang="en-US" sz="1400" b="1">
            <a:latin typeface="+mj-ea"/>
            <a:ea typeface="+mj-ea"/>
          </a:endParaRPr>
        </a:p>
      </cdr:txBody>
    </cdr:sp>
  </cdr:relSizeAnchor>
  <cdr:relSizeAnchor xmlns:cdr="http://schemas.openxmlformats.org/drawingml/2006/chartDrawing">
    <cdr:from>
      <cdr:x>0.23074</cdr:x>
      <cdr:y>0.87895</cdr:y>
    </cdr:from>
    <cdr:to>
      <cdr:x>0.38519</cdr:x>
      <cdr:y>0.98642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0B7CDB49-539F-433E-A503-E85163EFBDB4}"/>
            </a:ext>
          </a:extLst>
        </cdr:cNvPr>
        <cdr:cNvSpPr txBox="1"/>
      </cdr:nvSpPr>
      <cdr:spPr>
        <a:xfrm xmlns:a="http://schemas.openxmlformats.org/drawingml/2006/main">
          <a:off x="1272241" y="2841065"/>
          <a:ext cx="851647" cy="3473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400" b="1">
              <a:latin typeface="+mj-ea"/>
              <a:ea typeface="+mj-ea"/>
            </a:rPr>
            <a:t>'23.</a:t>
          </a:r>
          <a:r>
            <a:rPr lang="en-US" altLang="ko-KR" sz="1400" b="1" baseline="0">
              <a:latin typeface="+mj-ea"/>
              <a:ea typeface="+mj-ea"/>
            </a:rPr>
            <a:t> 2/4</a:t>
          </a:r>
          <a:endParaRPr lang="ko-KR" altLang="en-US" sz="1400" b="1">
            <a:latin typeface="+mj-ea"/>
            <a:ea typeface="+mj-ea"/>
          </a:endParaRPr>
        </a:p>
      </cdr:txBody>
    </cdr:sp>
  </cdr:relSizeAnchor>
  <cdr:relSizeAnchor xmlns:cdr="http://schemas.openxmlformats.org/drawingml/2006/chartDrawing">
    <cdr:from>
      <cdr:x>0.43803</cdr:x>
      <cdr:y>0.87895</cdr:y>
    </cdr:from>
    <cdr:to>
      <cdr:x>0.59249</cdr:x>
      <cdr:y>0.98642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0B7CDB49-539F-433E-A503-E85163EFBDB4}"/>
            </a:ext>
          </a:extLst>
        </cdr:cNvPr>
        <cdr:cNvSpPr txBox="1"/>
      </cdr:nvSpPr>
      <cdr:spPr>
        <a:xfrm xmlns:a="http://schemas.openxmlformats.org/drawingml/2006/main">
          <a:off x="2415241" y="2841065"/>
          <a:ext cx="851647" cy="3473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400" b="1">
              <a:latin typeface="+mj-ea"/>
              <a:ea typeface="+mj-ea"/>
            </a:rPr>
            <a:t>'24.</a:t>
          </a:r>
          <a:r>
            <a:rPr lang="en-US" altLang="ko-KR" sz="1400" b="1" baseline="0">
              <a:latin typeface="+mj-ea"/>
              <a:ea typeface="+mj-ea"/>
            </a:rPr>
            <a:t> 2/4</a:t>
          </a:r>
          <a:endParaRPr lang="ko-KR" altLang="en-US" sz="1400" b="1">
            <a:latin typeface="+mj-ea"/>
            <a:ea typeface="+mj-ea"/>
          </a:endParaRPr>
        </a:p>
      </cdr:txBody>
    </cdr:sp>
  </cdr:relSizeAnchor>
  <cdr:relSizeAnchor xmlns:cdr="http://schemas.openxmlformats.org/drawingml/2006/chartDrawing">
    <cdr:from>
      <cdr:x>0.61891</cdr:x>
      <cdr:y>0.87548</cdr:y>
    </cdr:from>
    <cdr:to>
      <cdr:x>0.77336</cdr:x>
      <cdr:y>0.98295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0B7CDB49-539F-433E-A503-E85163EFBDB4}"/>
            </a:ext>
          </a:extLst>
        </cdr:cNvPr>
        <cdr:cNvSpPr txBox="1"/>
      </cdr:nvSpPr>
      <cdr:spPr>
        <a:xfrm xmlns:a="http://schemas.openxmlformats.org/drawingml/2006/main">
          <a:off x="3412564" y="2829859"/>
          <a:ext cx="851647" cy="3473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400" b="1">
              <a:latin typeface="+mj-ea"/>
              <a:ea typeface="+mj-ea"/>
            </a:rPr>
            <a:t>'25.</a:t>
          </a:r>
          <a:r>
            <a:rPr lang="en-US" altLang="ko-KR" sz="1400" b="1" baseline="0">
              <a:latin typeface="+mj-ea"/>
              <a:ea typeface="+mj-ea"/>
            </a:rPr>
            <a:t> 2/4</a:t>
          </a:r>
          <a:endParaRPr lang="ko-KR" altLang="en-US" sz="1400" b="1">
            <a:latin typeface="+mj-ea"/>
            <a:ea typeface="+mj-ea"/>
          </a:endParaRPr>
        </a:p>
      </cdr:txBody>
    </cdr:sp>
  </cdr:relSizeAnchor>
  <cdr:relSizeAnchor xmlns:cdr="http://schemas.openxmlformats.org/drawingml/2006/chartDrawing">
    <cdr:from>
      <cdr:x>0.80182</cdr:x>
      <cdr:y>0.86855</cdr:y>
    </cdr:from>
    <cdr:to>
      <cdr:x>0.95627</cdr:x>
      <cdr:y>0.97602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0B7CDB49-539F-433E-A503-E85163EFBDB4}"/>
            </a:ext>
          </a:extLst>
        </cdr:cNvPr>
        <cdr:cNvSpPr txBox="1"/>
      </cdr:nvSpPr>
      <cdr:spPr>
        <a:xfrm xmlns:a="http://schemas.openxmlformats.org/drawingml/2006/main">
          <a:off x="4421094" y="2807447"/>
          <a:ext cx="851647" cy="3473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400" b="1">
              <a:latin typeface="+mj-ea"/>
              <a:ea typeface="+mj-ea"/>
            </a:rPr>
            <a:t>'26.</a:t>
          </a:r>
          <a:r>
            <a:rPr lang="en-US" altLang="ko-KR" sz="1400" b="1" baseline="0">
              <a:latin typeface="+mj-ea"/>
              <a:ea typeface="+mj-ea"/>
            </a:rPr>
            <a:t> 2/4</a:t>
          </a:r>
          <a:endParaRPr lang="ko-KR" altLang="en-US" sz="1400" b="1">
            <a:latin typeface="+mj-ea"/>
            <a:ea typeface="+mj-ea"/>
          </a:endParaRPr>
        </a:p>
      </cdr:txBody>
    </cdr:sp>
  </cdr:relSizeAnchor>
  <cdr:relSizeAnchor xmlns:cdr="http://schemas.openxmlformats.org/drawingml/2006/chartDrawing">
    <cdr:from>
      <cdr:x>0.58513</cdr:x>
      <cdr:y>0</cdr:y>
    </cdr:from>
    <cdr:to>
      <cdr:x>0.98239</cdr:x>
      <cdr:y>0.08667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211FFE2F-B3E3-47AB-A324-8642C093ABDD}"/>
            </a:ext>
          </a:extLst>
        </cdr:cNvPr>
        <cdr:cNvSpPr txBox="1"/>
      </cdr:nvSpPr>
      <cdr:spPr>
        <a:xfrm xmlns:a="http://schemas.openxmlformats.org/drawingml/2006/main">
          <a:off x="3350559" y="0"/>
          <a:ext cx="2274794" cy="2801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effectLst/>
              <a:latin typeface="+mn-lt"/>
              <a:ea typeface="+mn-ea"/>
              <a:cs typeface="+mn-cs"/>
            </a:rPr>
            <a:t>단위</a:t>
          </a:r>
          <a:r>
            <a:rPr lang="en-US" altLang="ko-KR" sz="1100" b="1">
              <a:effectLst/>
              <a:latin typeface="+mn-lt"/>
              <a:ea typeface="+mn-ea"/>
              <a:cs typeface="+mn-cs"/>
            </a:rPr>
            <a:t>:</a:t>
          </a:r>
          <a:r>
            <a:rPr lang="ko-KR" altLang="ko-KR" sz="1100" b="1">
              <a:effectLst/>
              <a:latin typeface="+mn-lt"/>
              <a:ea typeface="+mn-ea"/>
              <a:cs typeface="+mn-cs"/>
            </a:rPr>
            <a:t>억달러</a:t>
          </a:r>
          <a:r>
            <a:rPr lang="en-US" altLang="ko-KR" sz="1100" b="1"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b="1">
              <a:effectLst/>
              <a:latin typeface="+mn-lt"/>
              <a:ea typeface="+mn-ea"/>
              <a:cs typeface="+mn-cs"/>
            </a:rPr>
            <a:t>전년동기대비</a:t>
          </a:r>
          <a:r>
            <a:rPr lang="en-US" altLang="ko-KR" sz="1100" b="1">
              <a:effectLst/>
              <a:latin typeface="+mn-lt"/>
              <a:ea typeface="+mn-ea"/>
              <a:cs typeface="+mn-cs"/>
            </a:rPr>
            <a:t>, %)</a:t>
          </a:r>
          <a:endParaRPr lang="ko-KR" altLang="ko-KR">
            <a:effectLst/>
          </a:endParaRPr>
        </a:p>
        <a:p xmlns:a="http://schemas.openxmlformats.org/drawingml/2006/main">
          <a:endParaRPr lang="ko-KR" altLang="en-US" sz="1100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476251</xdr:colOff>
      <xdr:row>7</xdr:row>
      <xdr:rowOff>123825</xdr:rowOff>
    </xdr:from>
    <xdr:to>
      <xdr:col>10</xdr:col>
      <xdr:colOff>11205</xdr:colOff>
      <xdr:row>20</xdr:row>
      <xdr:rowOff>142875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10</xdr:row>
      <xdr:rowOff>185737</xdr:rowOff>
    </xdr:from>
    <xdr:to>
      <xdr:col>12</xdr:col>
      <xdr:colOff>295275</xdr:colOff>
      <xdr:row>23</xdr:row>
      <xdr:rowOff>204787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55D0774-0540-4242-BF47-8B3C6EC97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628650</xdr:colOff>
      <xdr:row>35</xdr:row>
      <xdr:rowOff>109537</xdr:rowOff>
    </xdr:from>
    <xdr:to>
      <xdr:col>11</xdr:col>
      <xdr:colOff>400050</xdr:colOff>
      <xdr:row>48</xdr:row>
      <xdr:rowOff>128587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2F150AE-DCAD-4CC8-AD61-03CCD6CD5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175663</xdr:colOff>
      <xdr:row>40</xdr:row>
      <xdr:rowOff>4945</xdr:rowOff>
    </xdr:from>
    <xdr:to>
      <xdr:col>22</xdr:col>
      <xdr:colOff>489988</xdr:colOff>
      <xdr:row>53</xdr:row>
      <xdr:rowOff>23995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7AA83B5-B87C-4054-8C56-16A2D4E3F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0.08571</cdr:x>
      <cdr:y>0.49267</cdr:y>
    </cdr:from>
    <cdr:to>
      <cdr:x>0.94113</cdr:x>
      <cdr:y>0.4936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9D52168C-72DB-47DE-B43C-7EA06C926F9D}"/>
            </a:ext>
          </a:extLst>
        </cdr:cNvPr>
        <cdr:cNvCxnSpPr/>
      </cdr:nvCxnSpPr>
      <cdr:spPr>
        <a:xfrm xmlns:a="http://schemas.openxmlformats.org/drawingml/2006/main" flipV="1">
          <a:off x="467275" y="1343855"/>
          <a:ext cx="4663645" cy="256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0.06824</cdr:x>
      <cdr:y>0.90391</cdr:y>
    </cdr:from>
    <cdr:to>
      <cdr:x>0.98656</cdr:x>
      <cdr:y>0.97156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0DDB6626-8862-4325-A1C0-FCF70BAA3C69}"/>
            </a:ext>
          </a:extLst>
        </cdr:cNvPr>
        <cdr:cNvSpPr txBox="1"/>
      </cdr:nvSpPr>
      <cdr:spPr>
        <a:xfrm xmlns:a="http://schemas.openxmlformats.org/drawingml/2006/main">
          <a:off x="372025" y="2465602"/>
          <a:ext cx="5006578" cy="1845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ko-KR" altLang="en-US" sz="1100"/>
        </a:p>
      </cdr:txBody>
    </cdr:sp>
  </cdr:relSizeAnchor>
  <cdr:relSizeAnchor xmlns:cdr="http://schemas.openxmlformats.org/drawingml/2006/chartDrawing">
    <cdr:from>
      <cdr:x>0.07479</cdr:x>
      <cdr:y>0.87772</cdr:y>
    </cdr:from>
    <cdr:to>
      <cdr:x>0.95489</cdr:x>
      <cdr:y>0.96501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A358ADFB-FC59-4D31-BB4E-8D9691953247}"/>
            </a:ext>
          </a:extLst>
        </cdr:cNvPr>
        <cdr:cNvSpPr txBox="1"/>
      </cdr:nvSpPr>
      <cdr:spPr>
        <a:xfrm xmlns:a="http://schemas.openxmlformats.org/drawingml/2006/main">
          <a:off x="407744" y="2394164"/>
          <a:ext cx="4798218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ko-KR" altLang="en-US" sz="1100"/>
        </a:p>
      </cdr:txBody>
    </cdr:sp>
  </cdr:relSizeAnchor>
  <cdr:relSizeAnchor xmlns:cdr="http://schemas.openxmlformats.org/drawingml/2006/chartDrawing">
    <cdr:from>
      <cdr:x>0.06824</cdr:x>
      <cdr:y>0.89088</cdr:y>
    </cdr:from>
    <cdr:to>
      <cdr:x>0.97018</cdr:x>
      <cdr:y>1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E02892D7-905B-40AF-8440-2C920BB8743D}"/>
            </a:ext>
          </a:extLst>
        </cdr:cNvPr>
        <cdr:cNvSpPr txBox="1"/>
      </cdr:nvSpPr>
      <cdr:spPr>
        <a:xfrm xmlns:a="http://schemas.openxmlformats.org/drawingml/2006/main">
          <a:off x="372025" y="2430066"/>
          <a:ext cx="4917281" cy="2976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ko-KR" sz="1400" b="1"/>
            <a:t>'25.</a:t>
          </a:r>
          <a:r>
            <a:rPr lang="en-US" altLang="ko-KR" sz="1400" b="1" baseline="0"/>
            <a:t> 2/4              3/4                   4/4               '26. 1/4                 2/4       </a:t>
          </a:r>
          <a:endParaRPr lang="ko-KR" altLang="en-US" sz="1400" b="1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185737</xdr:colOff>
      <xdr:row>11</xdr:row>
      <xdr:rowOff>95251</xdr:rowOff>
    </xdr:from>
    <xdr:to>
      <xdr:col>18</xdr:col>
      <xdr:colOff>152400</xdr:colOff>
      <xdr:row>22</xdr:row>
      <xdr:rowOff>200026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200026</xdr:colOff>
      <xdr:row>31</xdr:row>
      <xdr:rowOff>190500</xdr:rowOff>
    </xdr:from>
    <xdr:to>
      <xdr:col>15</xdr:col>
      <xdr:colOff>409576</xdr:colOff>
      <xdr:row>44</xdr:row>
      <xdr:rowOff>200025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404292</xdr:colOff>
      <xdr:row>37</xdr:row>
      <xdr:rowOff>181936</xdr:rowOff>
    </xdr:from>
    <xdr:to>
      <xdr:col>36</xdr:col>
      <xdr:colOff>625927</xdr:colOff>
      <xdr:row>51</xdr:row>
      <xdr:rowOff>200986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585786</xdr:colOff>
      <xdr:row>75</xdr:row>
      <xdr:rowOff>190500</xdr:rowOff>
    </xdr:from>
    <xdr:to>
      <xdr:col>8</xdr:col>
      <xdr:colOff>95250</xdr:colOff>
      <xdr:row>89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313764</xdr:colOff>
      <xdr:row>12</xdr:row>
      <xdr:rowOff>85725</xdr:rowOff>
    </xdr:from>
    <xdr:to>
      <xdr:col>45</xdr:col>
      <xdr:colOff>571500</xdr:colOff>
      <xdr:row>30</xdr:row>
      <xdr:rowOff>127746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461962</xdr:colOff>
      <xdr:row>3</xdr:row>
      <xdr:rowOff>171450</xdr:rowOff>
    </xdr:from>
    <xdr:to>
      <xdr:col>28</xdr:col>
      <xdr:colOff>171450</xdr:colOff>
      <xdr:row>16</xdr:row>
      <xdr:rowOff>180975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552450</xdr:colOff>
      <xdr:row>18</xdr:row>
      <xdr:rowOff>0</xdr:rowOff>
    </xdr:from>
    <xdr:to>
      <xdr:col>22</xdr:col>
      <xdr:colOff>85725</xdr:colOff>
      <xdr:row>31</xdr:row>
      <xdr:rowOff>200025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461962</xdr:colOff>
      <xdr:row>24</xdr:row>
      <xdr:rowOff>85725</xdr:rowOff>
    </xdr:from>
    <xdr:to>
      <xdr:col>13</xdr:col>
      <xdr:colOff>133350</xdr:colOff>
      <xdr:row>37</xdr:row>
      <xdr:rowOff>104775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14008</xdr:colOff>
      <xdr:row>13</xdr:row>
      <xdr:rowOff>166408</xdr:rowOff>
    </xdr:from>
    <xdr:to>
      <xdr:col>17</xdr:col>
      <xdr:colOff>375958</xdr:colOff>
      <xdr:row>29</xdr:row>
      <xdr:rowOff>10646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0.12791</cdr:x>
      <cdr:y>0.87263</cdr:y>
    </cdr:from>
    <cdr:to>
      <cdr:x>0.9705</cdr:x>
      <cdr:y>0.95881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B261203-4067-4DF1-8CEA-3CE3F301088D}"/>
            </a:ext>
          </a:extLst>
        </cdr:cNvPr>
        <cdr:cNvSpPr txBox="1"/>
      </cdr:nvSpPr>
      <cdr:spPr>
        <a:xfrm xmlns:a="http://schemas.openxmlformats.org/drawingml/2006/main">
          <a:off x="658345" y="2836769"/>
          <a:ext cx="4336676" cy="2801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ko-KR" altLang="en-US" sz="1100"/>
        </a:p>
      </cdr:txBody>
    </cdr:sp>
  </cdr:relSizeAnchor>
  <cdr:relSizeAnchor xmlns:cdr="http://schemas.openxmlformats.org/drawingml/2006/chartDrawing">
    <cdr:from>
      <cdr:x>0.13444</cdr:x>
      <cdr:y>0.86229</cdr:y>
    </cdr:from>
    <cdr:to>
      <cdr:x>0.99445</cdr:x>
      <cdr:y>0.95536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F1A4E8F-60BD-4A2C-BFA2-6560A2DAE2C4}"/>
            </a:ext>
          </a:extLst>
        </cdr:cNvPr>
        <cdr:cNvSpPr txBox="1"/>
      </cdr:nvSpPr>
      <cdr:spPr>
        <a:xfrm xmlns:a="http://schemas.openxmlformats.org/drawingml/2006/main">
          <a:off x="691962" y="2803151"/>
          <a:ext cx="4426324" cy="302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ko-KR" sz="1400" b="1">
              <a:latin typeface="+mn-ea"/>
              <a:ea typeface="+mn-ea"/>
            </a:rPr>
            <a:t>'25. 2/4     </a:t>
          </a:r>
          <a:r>
            <a:rPr lang="en-US" altLang="ko-KR" sz="1400" b="1" baseline="0">
              <a:latin typeface="+mn-ea"/>
              <a:ea typeface="+mn-ea"/>
            </a:rPr>
            <a:t>  3/4        4/4        '26. 1/4         2/4</a:t>
          </a:r>
          <a:r>
            <a:rPr lang="en-US" altLang="ko-KR" sz="1400" b="1">
              <a:latin typeface="+mn-ea"/>
              <a:ea typeface="+mn-ea"/>
            </a:rPr>
            <a:t>                      </a:t>
          </a:r>
          <a:endParaRPr lang="ko-KR" altLang="en-US" sz="1400" b="1">
            <a:latin typeface="+mn-ea"/>
            <a:ea typeface="+mn-ea"/>
          </a:endParaRP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13</xdr:row>
      <xdr:rowOff>9524</xdr:rowOff>
    </xdr:from>
    <xdr:to>
      <xdr:col>17</xdr:col>
      <xdr:colOff>9525</xdr:colOff>
      <xdr:row>25</xdr:row>
      <xdr:rowOff>38099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542925</xdr:colOff>
      <xdr:row>28</xdr:row>
      <xdr:rowOff>0</xdr:rowOff>
    </xdr:from>
    <xdr:to>
      <xdr:col>16</xdr:col>
      <xdr:colOff>247650</xdr:colOff>
      <xdr:row>40</xdr:row>
      <xdr:rowOff>142875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0.4</cdr:x>
      <cdr:y>0.32022</cdr:y>
    </cdr:from>
    <cdr:to>
      <cdr:x>0.6</cdr:x>
      <cdr:y>0.67978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233399E-C266-4E84-AA81-C92D96877ECB}"/>
            </a:ext>
          </a:extLst>
        </cdr:cNvPr>
        <cdr:cNvSpPr txBox="1"/>
      </cdr:nvSpPr>
      <cdr:spPr>
        <a:xfrm xmlns:a="http://schemas.openxmlformats.org/drawingml/2006/main">
          <a:off x="1828800" y="81438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ko-KR" altLang="en-US" sz="1100"/>
        </a:p>
      </cdr:txBody>
    </cdr:sp>
  </cdr:relSizeAnchor>
  <cdr:relSizeAnchor xmlns:cdr="http://schemas.openxmlformats.org/drawingml/2006/chartDrawing">
    <cdr:from>
      <cdr:x>0.76667</cdr:x>
      <cdr:y>0.00749</cdr:y>
    </cdr:from>
    <cdr:to>
      <cdr:x>0.95417</cdr:x>
      <cdr:y>0.1236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B406267-58A0-4B78-A27F-21BF7EBC69F9}"/>
            </a:ext>
          </a:extLst>
        </cdr:cNvPr>
        <cdr:cNvSpPr txBox="1"/>
      </cdr:nvSpPr>
      <cdr:spPr>
        <a:xfrm xmlns:a="http://schemas.openxmlformats.org/drawingml/2006/main">
          <a:off x="3505200" y="19051"/>
          <a:ext cx="857250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ko-KR" sz="1100"/>
            <a:t>(</a:t>
          </a:r>
          <a:r>
            <a:rPr lang="ko-KR" altLang="en-US" sz="1100"/>
            <a:t>단위 </a:t>
          </a:r>
          <a:r>
            <a:rPr lang="en-US" altLang="ko-KR" sz="1100"/>
            <a:t>: </a:t>
          </a:r>
          <a:r>
            <a:rPr lang="ko-KR" altLang="en-US" sz="1100"/>
            <a:t>만명</a:t>
          </a:r>
          <a:r>
            <a:rPr lang="en-US" altLang="ko-KR" sz="1100"/>
            <a:t>)</a:t>
          </a:r>
          <a:endParaRPr lang="ko-KR" altLang="en-US" sz="1100"/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633412</xdr:colOff>
      <xdr:row>14</xdr:row>
      <xdr:rowOff>57150</xdr:rowOff>
    </xdr:from>
    <xdr:to>
      <xdr:col>11</xdr:col>
      <xdr:colOff>495300</xdr:colOff>
      <xdr:row>27</xdr:row>
      <xdr:rowOff>76200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209549</xdr:colOff>
      <xdr:row>14</xdr:row>
      <xdr:rowOff>161925</xdr:rowOff>
    </xdr:from>
    <xdr:to>
      <xdr:col>21</xdr:col>
      <xdr:colOff>47624</xdr:colOff>
      <xdr:row>27</xdr:row>
      <xdr:rowOff>180975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0.0947</cdr:x>
      <cdr:y>0.03472</cdr:y>
    </cdr:from>
    <cdr:to>
      <cdr:x>0.37881</cdr:x>
      <cdr:y>0.15278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DEADB08-0577-4DE1-B654-941C507610AB}"/>
            </a:ext>
          </a:extLst>
        </cdr:cNvPr>
        <cdr:cNvSpPr txBox="1"/>
      </cdr:nvSpPr>
      <cdr:spPr>
        <a:xfrm xmlns:a="http://schemas.openxmlformats.org/drawingml/2006/main">
          <a:off x="561975" y="95251"/>
          <a:ext cx="1685925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ko-KR" sz="1100"/>
            <a:t>(2014~2016</a:t>
          </a:r>
          <a:r>
            <a:rPr lang="ko-KR" altLang="en-US" sz="1100"/>
            <a:t>년 평균</a:t>
          </a:r>
          <a:r>
            <a:rPr lang="en-US" altLang="ko-KR" sz="1100"/>
            <a:t>=100)</a:t>
          </a:r>
          <a:endParaRPr lang="ko-KR" altLang="en-US" sz="1100"/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430823</xdr:colOff>
      <xdr:row>33</xdr:row>
      <xdr:rowOff>156064</xdr:rowOff>
    </xdr:from>
    <xdr:to>
      <xdr:col>16</xdr:col>
      <xdr:colOff>249115</xdr:colOff>
      <xdr:row>46</xdr:row>
      <xdr:rowOff>79864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10</xdr:row>
      <xdr:rowOff>133350</xdr:rowOff>
    </xdr:from>
    <xdr:to>
      <xdr:col>14</xdr:col>
      <xdr:colOff>400050</xdr:colOff>
      <xdr:row>23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XEF26"/>
  <sheetViews>
    <sheetView zoomScaleNormal="100" workbookViewId="0">
      <pane xSplit="1" ySplit="6" topLeftCell="B17" activePane="bottomRight" state="frozen"/>
      <selection activeCell="B2" sqref="B2:H4"/>
      <selection pane="topRight" activeCell="B2" sqref="B2:H4"/>
      <selection pane="bottomLeft" activeCell="B2" sqref="B2:H4"/>
      <selection pane="bottomRight" activeCell="H35" sqref="H35"/>
    </sheetView>
  </sheetViews>
  <sheetFormatPr defaultColWidth="9" defaultRowHeight="17.25"/>
  <cols>
    <col min="1" max="1" width="19.875" style="4" customWidth="1"/>
    <col min="2" max="2" width="30.875" style="5" bestFit="1" customWidth="1"/>
    <col min="3" max="3" width="32.5" style="6" customWidth="1"/>
    <col min="4" max="4" width="1.25" style="4" customWidth="1"/>
    <col min="5" max="16384" width="9" style="4"/>
  </cols>
  <sheetData>
    <row r="1" spans="1:6 16360:16360">
      <c r="A1" s="1" t="s">
        <v>10</v>
      </c>
      <c r="B1" s="1"/>
      <c r="C1" s="16"/>
      <c r="D1" s="2"/>
    </row>
    <row r="2" spans="1:6 16360:16360">
      <c r="A2" s="3" t="s">
        <v>4</v>
      </c>
      <c r="B2" s="3"/>
      <c r="C2" s="16"/>
      <c r="D2" s="2"/>
    </row>
    <row r="3" spans="1:6 16360:16360" s="5" customFormat="1">
      <c r="A3" s="3"/>
      <c r="B3" s="3"/>
      <c r="C3" s="16"/>
      <c r="D3" s="7"/>
    </row>
    <row r="4" spans="1:6 16360:16360">
      <c r="A4" s="14"/>
      <c r="B4" s="112" t="s">
        <v>3</v>
      </c>
      <c r="C4" s="22" t="s">
        <v>3</v>
      </c>
      <c r="D4" s="15"/>
    </row>
    <row r="5" spans="1:6 16360:16360">
      <c r="A5" s="9"/>
      <c r="B5" s="112" t="s">
        <v>200</v>
      </c>
      <c r="C5" s="17" t="s">
        <v>9</v>
      </c>
      <c r="D5" s="15"/>
    </row>
    <row r="6" spans="1:6 16360:16360">
      <c r="A6" s="13" t="s">
        <v>0</v>
      </c>
      <c r="B6" s="13"/>
      <c r="C6" s="17" t="s">
        <v>1</v>
      </c>
      <c r="D6" s="15"/>
      <c r="XEF6" s="10" t="s">
        <v>1</v>
      </c>
    </row>
    <row r="7" spans="1:6 16360:16360">
      <c r="A7" s="19" t="s">
        <v>2</v>
      </c>
      <c r="B7" s="19">
        <v>1.2</v>
      </c>
      <c r="C7" s="12">
        <v>3.4</v>
      </c>
      <c r="D7" s="5"/>
      <c r="E7" s="8"/>
      <c r="F7" s="5"/>
    </row>
    <row r="8" spans="1:6 16360:16360" s="5" customFormat="1">
      <c r="A8" s="19" t="s">
        <v>5</v>
      </c>
      <c r="B8" s="19">
        <v>-0.2</v>
      </c>
      <c r="C8" s="12">
        <v>2.2000000000000002</v>
      </c>
      <c r="E8" s="8"/>
    </row>
    <row r="9" spans="1:6 16360:16360">
      <c r="A9" s="19" t="s">
        <v>6</v>
      </c>
      <c r="B9" s="19">
        <v>0.1</v>
      </c>
      <c r="C9" s="12">
        <v>1.4</v>
      </c>
      <c r="D9" s="5"/>
      <c r="E9" s="8"/>
      <c r="F9" s="5"/>
    </row>
    <row r="10" spans="1:6 16360:16360" s="5" customFormat="1">
      <c r="A10" s="19" t="s">
        <v>7</v>
      </c>
      <c r="B10" s="19">
        <v>0.1</v>
      </c>
      <c r="C10" s="12">
        <v>1.1000000000000001</v>
      </c>
      <c r="E10" s="8"/>
    </row>
    <row r="11" spans="1:6 16360:16360">
      <c r="A11" s="19" t="s">
        <v>8</v>
      </c>
      <c r="B11" s="19">
        <v>-0.2</v>
      </c>
      <c r="C11" s="12">
        <v>0</v>
      </c>
      <c r="D11" s="5"/>
      <c r="E11" s="8"/>
      <c r="F11" s="5"/>
    </row>
    <row r="12" spans="1:6 16360:16360">
      <c r="A12" s="19" t="s">
        <v>617</v>
      </c>
      <c r="B12" s="19">
        <v>0.7</v>
      </c>
      <c r="C12" s="12">
        <v>0.6</v>
      </c>
      <c r="D12" s="5"/>
      <c r="E12" s="8"/>
      <c r="F12" s="5"/>
    </row>
    <row r="13" spans="1:6 16360:16360">
      <c r="A13" s="19" t="s">
        <v>618</v>
      </c>
      <c r="B13" s="19">
        <v>1.3</v>
      </c>
      <c r="C13" s="12">
        <v>1.8</v>
      </c>
      <c r="D13" s="5"/>
      <c r="E13" s="8"/>
      <c r="F13" s="5"/>
    </row>
    <row r="14" spans="1:6 16360:16360">
      <c r="A14" s="19" t="s">
        <v>619</v>
      </c>
      <c r="B14" s="19">
        <v>-0.2</v>
      </c>
      <c r="C14" s="12">
        <v>1.6</v>
      </c>
      <c r="D14" s="5"/>
      <c r="E14" s="8"/>
      <c r="F14" s="5"/>
    </row>
    <row r="15" spans="1:6 16360:16360" s="5" customFormat="1">
      <c r="A15" s="19" t="s">
        <v>620</v>
      </c>
      <c r="B15" s="19">
        <v>1.7</v>
      </c>
      <c r="C15" s="12">
        <v>3.6</v>
      </c>
      <c r="E15" s="8"/>
    </row>
    <row r="16" spans="1:6 16360:16360" s="5" customFormat="1">
      <c r="A16" s="19"/>
      <c r="B16" s="19"/>
      <c r="C16" s="12"/>
      <c r="E16" s="8"/>
    </row>
    <row r="17" spans="1:5" s="5" customFormat="1">
      <c r="A17" s="19"/>
      <c r="B17" s="19"/>
      <c r="C17" s="12"/>
      <c r="E17" s="8"/>
    </row>
    <row r="18" spans="1:5" s="5" customFormat="1">
      <c r="A18" s="19"/>
      <c r="B18" s="19"/>
      <c r="C18" s="12"/>
      <c r="E18" s="8"/>
    </row>
    <row r="19" spans="1:5" s="5" customFormat="1">
      <c r="A19" s="19"/>
      <c r="B19" s="19"/>
      <c r="C19" s="12"/>
      <c r="E19" s="8"/>
    </row>
    <row r="20" spans="1:5" s="5" customFormat="1">
      <c r="A20" s="263"/>
      <c r="B20" s="263" t="s">
        <v>243</v>
      </c>
      <c r="C20" s="264" t="s">
        <v>244</v>
      </c>
      <c r="E20" s="8"/>
    </row>
    <row r="21" spans="1:5" s="5" customFormat="1">
      <c r="A21" s="263" t="s">
        <v>8</v>
      </c>
      <c r="B21" s="263">
        <v>-0.2</v>
      </c>
      <c r="C21" s="264">
        <v>0.2</v>
      </c>
      <c r="E21" s="8"/>
    </row>
    <row r="22" spans="1:5" s="5" customFormat="1">
      <c r="A22" s="263" t="s">
        <v>142</v>
      </c>
      <c r="B22" s="263">
        <v>0.6</v>
      </c>
      <c r="C22" s="264">
        <v>0.7</v>
      </c>
      <c r="E22" s="8"/>
    </row>
    <row r="23" spans="1:5" s="5" customFormat="1">
      <c r="A23" s="263" t="s">
        <v>143</v>
      </c>
      <c r="B23" s="263">
        <v>1.4</v>
      </c>
      <c r="C23" s="264">
        <v>2.1</v>
      </c>
      <c r="E23" s="8"/>
    </row>
    <row r="24" spans="1:5">
      <c r="A24" s="263" t="s">
        <v>144</v>
      </c>
      <c r="B24" s="265">
        <v>-0.1</v>
      </c>
      <c r="C24" s="266">
        <v>1.6</v>
      </c>
    </row>
    <row r="25" spans="1:5">
      <c r="A25" s="263" t="s">
        <v>621</v>
      </c>
      <c r="B25" s="265">
        <v>1.8</v>
      </c>
      <c r="C25" s="266">
        <v>3.8</v>
      </c>
    </row>
    <row r="26" spans="1:5">
      <c r="A26" s="4" t="s">
        <v>623</v>
      </c>
      <c r="B26" s="5">
        <v>0.6</v>
      </c>
      <c r="C26" s="6">
        <v>3.7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6"/>
  <sheetViews>
    <sheetView tabSelected="1" topLeftCell="AI1" workbookViewId="0">
      <selection activeCell="AF3" sqref="AF3"/>
    </sheetView>
  </sheetViews>
  <sheetFormatPr defaultRowHeight="12.75"/>
  <cols>
    <col min="1" max="1" width="49.75" style="171" customWidth="1"/>
    <col min="2" max="9" width="9" style="171"/>
    <col min="10" max="10" width="18.625" style="171" customWidth="1"/>
    <col min="11" max="22" width="9" style="171"/>
    <col min="23" max="23" width="12" style="171" bestFit="1" customWidth="1"/>
    <col min="24" max="31" width="9" style="171"/>
    <col min="32" max="32" width="29.75" style="171" customWidth="1"/>
    <col min="33" max="35" width="9" style="171"/>
    <col min="36" max="36" width="11.5" style="171" customWidth="1"/>
    <col min="37" max="16384" width="9" style="171"/>
  </cols>
  <sheetData>
    <row r="1" spans="1:54" ht="23.25" customHeight="1">
      <c r="A1" s="169" t="s">
        <v>257</v>
      </c>
      <c r="B1" s="169" t="s">
        <v>258</v>
      </c>
      <c r="C1" s="169" t="s">
        <v>259</v>
      </c>
      <c r="D1" s="169" t="s">
        <v>260</v>
      </c>
      <c r="E1" s="169" t="s">
        <v>261</v>
      </c>
      <c r="F1" s="169" t="s">
        <v>262</v>
      </c>
      <c r="G1" s="169" t="s">
        <v>263</v>
      </c>
      <c r="H1" s="169" t="s">
        <v>264</v>
      </c>
      <c r="I1" s="169" t="s">
        <v>265</v>
      </c>
      <c r="J1" s="169"/>
      <c r="K1" s="170" t="s">
        <v>266</v>
      </c>
      <c r="L1" s="170" t="s">
        <v>267</v>
      </c>
      <c r="M1" s="170" t="s">
        <v>268</v>
      </c>
      <c r="N1" s="170" t="s">
        <v>269</v>
      </c>
      <c r="O1" s="170" t="s">
        <v>270</v>
      </c>
      <c r="P1" s="170" t="s">
        <v>271</v>
      </c>
      <c r="Q1" s="170" t="s">
        <v>272</v>
      </c>
      <c r="R1" s="170" t="s">
        <v>273</v>
      </c>
      <c r="S1" s="170" t="s">
        <v>274</v>
      </c>
      <c r="T1" s="170" t="s">
        <v>275</v>
      </c>
      <c r="U1" s="170" t="s">
        <v>276</v>
      </c>
      <c r="V1" s="170" t="s">
        <v>277</v>
      </c>
      <c r="W1" s="169"/>
      <c r="X1" s="170" t="s">
        <v>278</v>
      </c>
      <c r="Y1" s="170" t="s">
        <v>279</v>
      </c>
      <c r="Z1" s="170" t="s">
        <v>280</v>
      </c>
      <c r="AA1" s="170" t="s">
        <v>281</v>
      </c>
      <c r="AB1" s="170" t="s">
        <v>282</v>
      </c>
      <c r="AC1" s="170" t="s">
        <v>283</v>
      </c>
      <c r="AD1" s="170" t="s">
        <v>284</v>
      </c>
      <c r="AE1" s="170" t="s">
        <v>285</v>
      </c>
      <c r="AF1" s="170"/>
      <c r="AG1" s="170" t="s">
        <v>371</v>
      </c>
      <c r="AH1" s="170" t="s">
        <v>286</v>
      </c>
      <c r="AI1" s="170" t="s">
        <v>287</v>
      </c>
      <c r="AJ1" s="170" t="s">
        <v>288</v>
      </c>
      <c r="AK1" s="170" t="s">
        <v>289</v>
      </c>
      <c r="AL1" s="170" t="s">
        <v>286</v>
      </c>
      <c r="AM1" s="170" t="s">
        <v>290</v>
      </c>
      <c r="AN1" s="170" t="s">
        <v>291</v>
      </c>
      <c r="AO1" s="170" t="s">
        <v>292</v>
      </c>
      <c r="AP1" s="170" t="s">
        <v>293</v>
      </c>
      <c r="AQ1" s="170" t="s">
        <v>287</v>
      </c>
      <c r="AR1" s="170" t="s">
        <v>294</v>
      </c>
      <c r="AS1" s="170" t="s">
        <v>289</v>
      </c>
      <c r="AT1" s="170" t="s">
        <v>286</v>
      </c>
      <c r="AU1" s="170" t="s">
        <v>287</v>
      </c>
      <c r="AV1" s="170" t="s">
        <v>295</v>
      </c>
      <c r="AW1" s="170" t="s">
        <v>292</v>
      </c>
      <c r="AX1" s="170" t="s">
        <v>286</v>
      </c>
      <c r="AY1" s="170" t="s">
        <v>287</v>
      </c>
      <c r="AZ1" s="170" t="s">
        <v>622</v>
      </c>
      <c r="BA1" s="170" t="s">
        <v>289</v>
      </c>
      <c r="BB1" s="170" t="s">
        <v>286</v>
      </c>
    </row>
    <row r="2" spans="1:54" ht="23.25" customHeight="1">
      <c r="A2" s="172" t="s">
        <v>296</v>
      </c>
      <c r="B2" s="173">
        <v>1101</v>
      </c>
      <c r="C2" s="173" t="s">
        <v>18</v>
      </c>
      <c r="D2" s="174" t="s">
        <v>297</v>
      </c>
      <c r="E2" s="174" t="s">
        <v>298</v>
      </c>
      <c r="F2" s="175">
        <v>6646.2</v>
      </c>
      <c r="G2" s="175">
        <v>8763.2000000000007</v>
      </c>
      <c r="H2" s="175">
        <v>9376.2000000000007</v>
      </c>
      <c r="I2" s="175">
        <v>11250.7</v>
      </c>
      <c r="J2" s="175" t="s">
        <v>299</v>
      </c>
      <c r="K2" s="175">
        <v>6182.2</v>
      </c>
      <c r="L2" s="175">
        <v>8454.2000000000007</v>
      </c>
      <c r="M2" s="175">
        <v>8552.4</v>
      </c>
      <c r="N2" s="175">
        <v>10477.200000000001</v>
      </c>
      <c r="O2" s="175">
        <v>5933.9</v>
      </c>
      <c r="P2" s="175">
        <v>8666.1</v>
      </c>
      <c r="Q2" s="175">
        <v>8715.2000000000007</v>
      </c>
      <c r="R2" s="175">
        <v>10771.4</v>
      </c>
      <c r="S2" s="175">
        <v>6303.4</v>
      </c>
      <c r="T2" s="175">
        <v>8646</v>
      </c>
      <c r="U2" s="175">
        <v>8299.7999999999993</v>
      </c>
      <c r="V2" s="175">
        <v>10573.6</v>
      </c>
      <c r="W2" s="175" t="s">
        <v>300</v>
      </c>
      <c r="X2" s="175">
        <v>6661.6</v>
      </c>
      <c r="Y2" s="175">
        <v>8792.9</v>
      </c>
      <c r="Z2" s="175">
        <v>8692.4</v>
      </c>
      <c r="AA2" s="175">
        <v>10661.8</v>
      </c>
      <c r="AB2" s="175">
        <v>6401.9</v>
      </c>
      <c r="AC2" s="175">
        <v>7940.3</v>
      </c>
      <c r="AD2" s="175">
        <v>7848.5</v>
      </c>
      <c r="AE2" s="175">
        <v>10290.9</v>
      </c>
      <c r="AF2" s="175" t="s">
        <v>301</v>
      </c>
      <c r="AG2" s="175">
        <v>7725.5</v>
      </c>
      <c r="AH2" s="175">
        <v>8392.2999999999993</v>
      </c>
      <c r="AI2" s="175">
        <v>10925.5</v>
      </c>
      <c r="AJ2" s="175">
        <v>6578.4</v>
      </c>
      <c r="AK2" s="175">
        <v>7961.3</v>
      </c>
      <c r="AL2" s="175">
        <v>8404.7999999999993</v>
      </c>
      <c r="AM2" s="175">
        <v>10921.8</v>
      </c>
      <c r="AN2" s="175">
        <v>6470.4</v>
      </c>
      <c r="AO2" s="175">
        <v>8218</v>
      </c>
      <c r="AP2" s="175">
        <v>8506.1</v>
      </c>
      <c r="AQ2" s="175">
        <v>10045.299999999999</v>
      </c>
      <c r="AR2" s="175">
        <v>6435.2</v>
      </c>
      <c r="AS2" s="175">
        <v>8168.9</v>
      </c>
      <c r="AT2" s="175">
        <v>8555.9</v>
      </c>
      <c r="AU2" s="175">
        <v>10316.5</v>
      </c>
      <c r="AV2" s="175">
        <v>6612.3</v>
      </c>
      <c r="AW2" s="175">
        <v>8059.4</v>
      </c>
      <c r="AX2" s="171">
        <v>8692.2000000000007</v>
      </c>
      <c r="AY2" s="171">
        <v>10263.799999999999</v>
      </c>
      <c r="AZ2" s="171">
        <v>6846.1</v>
      </c>
      <c r="BA2" s="171">
        <v>7860.3</v>
      </c>
      <c r="BB2" s="171">
        <v>8830.7</v>
      </c>
    </row>
    <row r="3" spans="1:54">
      <c r="J3" s="176" t="s">
        <v>302</v>
      </c>
      <c r="K3" s="177">
        <f>(K2-F2)/F2*100</f>
        <v>-6.9814329993078754</v>
      </c>
      <c r="L3" s="177">
        <f>(L2-G2)/G2*100</f>
        <v>-3.5261091838597771</v>
      </c>
      <c r="M3" s="177">
        <f>(M2-H2)/H2*100</f>
        <v>-8.7860753823510702</v>
      </c>
      <c r="N3" s="177">
        <f>(N2-I2)/I2*100</f>
        <v>-6.8751277698276549</v>
      </c>
      <c r="O3" s="177">
        <f t="shared" ref="O3:AV3" si="0">(O2-K2)/K2*100</f>
        <v>-4.0163695771731778</v>
      </c>
      <c r="P3" s="177">
        <f t="shared" si="0"/>
        <v>2.5064464999645102</v>
      </c>
      <c r="Q3" s="177">
        <f t="shared" si="0"/>
        <v>1.9035592348346793</v>
      </c>
      <c r="R3" s="177">
        <f t="shared" si="0"/>
        <v>2.8080021379757842</v>
      </c>
      <c r="S3" s="177">
        <f t="shared" si="0"/>
        <v>6.2269333827668145</v>
      </c>
      <c r="T3" s="177">
        <f t="shared" si="0"/>
        <v>-0.23193824211583483</v>
      </c>
      <c r="U3" s="177">
        <f t="shared" si="0"/>
        <v>-4.7663851661465184</v>
      </c>
      <c r="V3" s="177">
        <f t="shared" si="0"/>
        <v>-1.8363443934864481</v>
      </c>
      <c r="W3" s="176" t="s">
        <v>303</v>
      </c>
      <c r="X3" s="177">
        <f>(X2-S2)/S2*100</f>
        <v>5.6826474601009096</v>
      </c>
      <c r="Y3" s="177">
        <f>(Y2-T2)/T2*100</f>
        <v>1.6990515845477636</v>
      </c>
      <c r="Z3" s="177">
        <f>(Z2-U2)/U2*100</f>
        <v>4.7302344634810529</v>
      </c>
      <c r="AA3" s="177">
        <f>(AA2-V2)/V2*100</f>
        <v>0.8341529847923026</v>
      </c>
      <c r="AB3" s="177">
        <f t="shared" si="0"/>
        <v>-3.8984628317521426</v>
      </c>
      <c r="AC3" s="177">
        <f t="shared" si="0"/>
        <v>-9.6964596435760608</v>
      </c>
      <c r="AD3" s="177">
        <f t="shared" si="0"/>
        <v>-9.7084809718834801</v>
      </c>
      <c r="AE3" s="177">
        <f t="shared" si="0"/>
        <v>-3.4787746909527439</v>
      </c>
      <c r="AF3" s="176" t="s">
        <v>303</v>
      </c>
      <c r="AG3" s="177">
        <f>(AG2-AC2)/AC2*100</f>
        <v>-2.7051874614309304</v>
      </c>
      <c r="AH3" s="177">
        <f>(AH2-AD2)/AD2*100</f>
        <v>6.928712492833017</v>
      </c>
      <c r="AI3" s="177">
        <f>(AI2-AE2)/AE2*100</f>
        <v>6.1666132213897749</v>
      </c>
      <c r="AJ3" s="177" t="e">
        <f>(AJ2-#REF!)/#REF!*100</f>
        <v>#REF!</v>
      </c>
      <c r="AK3" s="177">
        <f t="shared" si="0"/>
        <v>3.0522296291502191</v>
      </c>
      <c r="AL3" s="177">
        <f t="shared" si="0"/>
        <v>0.14894605769574493</v>
      </c>
      <c r="AM3" s="177">
        <f t="shared" si="0"/>
        <v>-3.3865726969024096E-2</v>
      </c>
      <c r="AN3" s="177">
        <f t="shared" si="0"/>
        <v>-1.6417365924844947</v>
      </c>
      <c r="AO3" s="177">
        <f t="shared" si="0"/>
        <v>3.224347782397345</v>
      </c>
      <c r="AP3" s="177">
        <f t="shared" si="0"/>
        <v>1.2052636588616159</v>
      </c>
      <c r="AQ3" s="177">
        <f t="shared" si="0"/>
        <v>-8.0252339357981288</v>
      </c>
      <c r="AR3" s="177">
        <f t="shared" si="0"/>
        <v>-0.54401582591493292</v>
      </c>
      <c r="AS3" s="177">
        <f t="shared" si="0"/>
        <v>-0.5974689705524503</v>
      </c>
      <c r="AT3" s="177">
        <f t="shared" si="0"/>
        <v>0.58546219771692398</v>
      </c>
      <c r="AU3" s="177">
        <f t="shared" si="0"/>
        <v>2.6997700417110564</v>
      </c>
      <c r="AV3" s="177">
        <f t="shared" si="0"/>
        <v>2.7520512182993593</v>
      </c>
      <c r="AW3" s="177">
        <f>(AW2-AS2)/AS2*100</f>
        <v>-1.3404497545569172</v>
      </c>
      <c r="AX3" s="177">
        <f>(AX2-AT2)/AT2*100</f>
        <v>1.5930527472270726</v>
      </c>
      <c r="AY3" s="177">
        <f t="shared" ref="AY3" si="1">(AY2-AU2)/AU2*100</f>
        <v>-0.51083216207047666</v>
      </c>
      <c r="AZ3" s="177">
        <f t="shared" ref="AZ3" si="2">(AZ2-AV2)/AV2*100</f>
        <v>3.5358347322414314</v>
      </c>
      <c r="BA3" s="177">
        <f t="shared" ref="BA3" si="3">(BA2-AW2)/AW2*100</f>
        <v>-2.470407226344386</v>
      </c>
      <c r="BB3" s="177">
        <f>(BB2-AX2)/AX2*100</f>
        <v>1.5933825728814337</v>
      </c>
    </row>
    <row r="4" spans="1:54" ht="17.25">
      <c r="A4" s="171" t="s">
        <v>257</v>
      </c>
      <c r="B4" s="171" t="s">
        <v>258</v>
      </c>
      <c r="C4" s="171" t="s">
        <v>259</v>
      </c>
      <c r="D4" s="171" t="s">
        <v>260</v>
      </c>
      <c r="E4" s="171" t="s">
        <v>261</v>
      </c>
      <c r="AG4" s="170" t="s">
        <v>371</v>
      </c>
      <c r="AH4" s="170" t="s">
        <v>286</v>
      </c>
      <c r="AI4" s="170" t="s">
        <v>287</v>
      </c>
      <c r="AJ4" s="170" t="s">
        <v>288</v>
      </c>
      <c r="AK4" s="170" t="s">
        <v>289</v>
      </c>
      <c r="AL4" s="170" t="s">
        <v>286</v>
      </c>
      <c r="AM4" s="170" t="s">
        <v>287</v>
      </c>
      <c r="AN4" s="170" t="s">
        <v>291</v>
      </c>
      <c r="AO4" s="170" t="s">
        <v>289</v>
      </c>
      <c r="AP4" s="170" t="s">
        <v>286</v>
      </c>
      <c r="AQ4" s="170" t="s">
        <v>287</v>
      </c>
      <c r="AR4" s="170" t="s">
        <v>294</v>
      </c>
      <c r="AS4" s="170" t="s">
        <v>289</v>
      </c>
      <c r="AT4" s="170" t="s">
        <v>286</v>
      </c>
      <c r="AU4" s="170" t="s">
        <v>287</v>
      </c>
      <c r="AV4" s="170" t="s">
        <v>295</v>
      </c>
      <c r="AW4" s="170" t="s">
        <v>289</v>
      </c>
      <c r="AX4" s="170" t="s">
        <v>286</v>
      </c>
      <c r="AY4" s="170" t="s">
        <v>287</v>
      </c>
      <c r="AZ4" s="170" t="s">
        <v>622</v>
      </c>
      <c r="BA4" s="170" t="s">
        <v>289</v>
      </c>
      <c r="BB4" s="170" t="s">
        <v>286</v>
      </c>
    </row>
    <row r="5" spans="1:54" ht="17.25">
      <c r="A5" s="171" t="s">
        <v>296</v>
      </c>
      <c r="B5" s="171">
        <v>1101</v>
      </c>
      <c r="C5" s="171" t="s">
        <v>18</v>
      </c>
      <c r="D5" s="171" t="s">
        <v>297</v>
      </c>
      <c r="E5" s="171" t="s">
        <v>298</v>
      </c>
      <c r="AG5" s="175">
        <v>7725.5</v>
      </c>
      <c r="AH5" s="175">
        <v>8392.2999999999993</v>
      </c>
      <c r="AI5" s="175">
        <v>10925.5</v>
      </c>
      <c r="AJ5" s="175">
        <v>6578.4</v>
      </c>
      <c r="AK5" s="175">
        <v>7961.3</v>
      </c>
      <c r="AL5" s="175">
        <v>8404.7999999999993</v>
      </c>
      <c r="AM5" s="175">
        <v>10921.8</v>
      </c>
      <c r="AN5" s="171">
        <v>6470.4</v>
      </c>
      <c r="AO5" s="171">
        <v>8218</v>
      </c>
      <c r="AP5" s="171">
        <v>8506.1</v>
      </c>
      <c r="AQ5" s="171">
        <v>10045.299999999999</v>
      </c>
      <c r="AR5" s="171">
        <v>6435.2</v>
      </c>
      <c r="AS5" s="171">
        <v>8168.9</v>
      </c>
      <c r="AT5" s="171">
        <v>8555.9</v>
      </c>
      <c r="AU5" s="171">
        <v>10316.5</v>
      </c>
      <c r="AV5" s="171">
        <v>6612.3</v>
      </c>
      <c r="AW5" s="171">
        <v>8059.4</v>
      </c>
      <c r="AX5" s="171">
        <v>8692.2000000000007</v>
      </c>
      <c r="AY5" s="171">
        <v>10263.799999999999</v>
      </c>
      <c r="AZ5" s="171">
        <v>6846.1</v>
      </c>
      <c r="BA5" s="171">
        <v>7860.3</v>
      </c>
      <c r="BB5" s="171">
        <v>8830.7</v>
      </c>
    </row>
    <row r="6" spans="1:54">
      <c r="AN6" s="177">
        <f t="shared" ref="AN6" si="4">(AN5-AJ5)/AJ5*100</f>
        <v>-1.6417365924844947</v>
      </c>
      <c r="AO6" s="177">
        <f t="shared" ref="AO6:AQ6" si="5">(AO5-AK5)/AK5*100</f>
        <v>3.224347782397345</v>
      </c>
      <c r="AP6" s="177">
        <f t="shared" si="5"/>
        <v>1.2052636588616159</v>
      </c>
      <c r="AQ6" s="177">
        <f t="shared" si="5"/>
        <v>-8.0252339357981288</v>
      </c>
      <c r="AR6" s="177">
        <f t="shared" ref="AR6" si="6">(AR5-AN5)/AN5*100</f>
        <v>-0.54401582591493292</v>
      </c>
      <c r="AS6" s="177">
        <f t="shared" ref="AS6" si="7">(AS5-AO5)/AO5*100</f>
        <v>-0.5974689705524503</v>
      </c>
      <c r="AT6" s="177">
        <f t="shared" ref="AT6" si="8">(AT5-AP5)/AP5*100</f>
        <v>0.58546219771692398</v>
      </c>
      <c r="AU6" s="177">
        <f t="shared" ref="AU6" si="9">(AU5-AQ5)/AQ5*100</f>
        <v>2.6997700417110564</v>
      </c>
      <c r="AV6" s="177">
        <f t="shared" ref="AV6" si="10">(AV5-AR5)/AR5*100</f>
        <v>2.7520512182993593</v>
      </c>
      <c r="AW6" s="177">
        <f t="shared" ref="AW6" si="11">(AW5-AS5)/AS5*100</f>
        <v>-1.3404497545569172</v>
      </c>
      <c r="AX6" s="177">
        <f t="shared" ref="AX6" si="12">(AX5-AT5)/AT5*100</f>
        <v>1.5930527472270726</v>
      </c>
      <c r="AY6" s="177">
        <f t="shared" ref="AY6" si="13">(AY5-AU5)/AU5*100</f>
        <v>-0.51083216207047666</v>
      </c>
      <c r="AZ6" s="177">
        <f t="shared" ref="AZ6:BA6" si="14">(AZ5-AV5)/AV5*100</f>
        <v>3.5358347322414314</v>
      </c>
      <c r="BA6" s="177">
        <f t="shared" si="14"/>
        <v>-2.470407226344386</v>
      </c>
      <c r="BB6" s="177">
        <f>(BB5-AX5)/AX5*100</f>
        <v>1.5933825728814337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151"/>
  <sheetViews>
    <sheetView topLeftCell="A21" zoomScale="85" zoomScaleNormal="85" workbookViewId="0">
      <selection activeCell="J106" sqref="J106"/>
    </sheetView>
  </sheetViews>
  <sheetFormatPr defaultRowHeight="16.5"/>
  <cols>
    <col min="2" max="2" width="11.375" customWidth="1"/>
    <col min="3" max="3" width="9.375" bestFit="1" customWidth="1"/>
    <col min="5" max="5" width="19.25" bestFit="1" customWidth="1"/>
    <col min="6" max="6" width="11.125" bestFit="1" customWidth="1"/>
    <col min="7" max="7" width="9.375" bestFit="1" customWidth="1"/>
    <col min="15" max="15" width="10.375" bestFit="1" customWidth="1"/>
  </cols>
  <sheetData>
    <row r="1" spans="1:62" s="5" customFormat="1" ht="17.25">
      <c r="A1" s="1" t="s">
        <v>134</v>
      </c>
      <c r="B1" s="7"/>
      <c r="C1" s="7"/>
      <c r="D1" s="16"/>
      <c r="E1" s="16"/>
    </row>
    <row r="2" spans="1:62" s="5" customFormat="1" ht="17.25">
      <c r="A2" s="3" t="s">
        <v>376</v>
      </c>
      <c r="B2" s="7"/>
      <c r="C2" s="7"/>
      <c r="D2" s="16"/>
      <c r="E2" s="16"/>
    </row>
    <row r="5" spans="1:62">
      <c r="B5" s="114" t="s">
        <v>206</v>
      </c>
      <c r="C5" s="36" t="s">
        <v>207</v>
      </c>
      <c r="D5" s="113">
        <v>2</v>
      </c>
      <c r="E5" s="113">
        <v>3</v>
      </c>
      <c r="F5" s="113">
        <v>4</v>
      </c>
      <c r="G5" s="113">
        <v>5</v>
      </c>
      <c r="H5" s="113">
        <v>6</v>
      </c>
      <c r="I5" s="113">
        <v>7</v>
      </c>
      <c r="J5" s="113">
        <v>8</v>
      </c>
      <c r="K5" s="113">
        <v>9</v>
      </c>
      <c r="L5" s="113">
        <v>10</v>
      </c>
      <c r="M5" s="113">
        <v>11</v>
      </c>
      <c r="N5" s="113">
        <v>12</v>
      </c>
      <c r="O5" s="113">
        <v>22.1</v>
      </c>
      <c r="P5" s="113">
        <v>2</v>
      </c>
      <c r="Q5" s="113">
        <v>3</v>
      </c>
      <c r="R5" s="113">
        <v>4</v>
      </c>
      <c r="S5" s="113">
        <v>5</v>
      </c>
      <c r="T5" s="113">
        <v>6</v>
      </c>
      <c r="U5" s="113">
        <v>7</v>
      </c>
      <c r="V5" s="113">
        <v>8</v>
      </c>
      <c r="W5" s="113">
        <v>9</v>
      </c>
      <c r="X5" s="113">
        <v>10</v>
      </c>
      <c r="Y5" s="113">
        <v>11</v>
      </c>
      <c r="Z5" s="113">
        <v>12</v>
      </c>
      <c r="AA5" s="119">
        <v>23.1</v>
      </c>
      <c r="AB5" s="119">
        <v>2</v>
      </c>
      <c r="AC5" s="119">
        <v>3</v>
      </c>
      <c r="AD5" s="119">
        <v>4</v>
      </c>
      <c r="AE5" s="119">
        <v>5</v>
      </c>
      <c r="AF5" s="119">
        <v>6</v>
      </c>
      <c r="AG5" s="119">
        <v>7</v>
      </c>
      <c r="AH5" s="119">
        <v>8</v>
      </c>
      <c r="AI5" s="119">
        <v>9</v>
      </c>
      <c r="AJ5" s="119">
        <v>10</v>
      </c>
      <c r="AK5" s="119">
        <v>11</v>
      </c>
      <c r="AL5" s="119">
        <v>12</v>
      </c>
      <c r="AM5" s="119">
        <v>24.1</v>
      </c>
      <c r="AN5" s="119">
        <v>2</v>
      </c>
      <c r="AO5" s="119">
        <v>3</v>
      </c>
      <c r="AP5" s="119">
        <v>4</v>
      </c>
      <c r="AQ5" s="119">
        <v>5</v>
      </c>
      <c r="AR5" s="119">
        <v>6</v>
      </c>
      <c r="AS5" s="119">
        <v>7</v>
      </c>
      <c r="AT5" s="119">
        <v>8</v>
      </c>
      <c r="AU5" s="119">
        <v>9</v>
      </c>
      <c r="AV5" s="119">
        <v>10</v>
      </c>
      <c r="AW5" s="119">
        <v>11</v>
      </c>
      <c r="AX5" s="119">
        <v>12</v>
      </c>
      <c r="AY5" s="119">
        <v>25.1</v>
      </c>
      <c r="AZ5" s="119">
        <v>2</v>
      </c>
      <c r="BA5" s="119">
        <v>3</v>
      </c>
      <c r="BB5" s="119">
        <v>4</v>
      </c>
      <c r="BC5" s="119">
        <v>5</v>
      </c>
      <c r="BD5" s="119">
        <v>6</v>
      </c>
      <c r="BE5" s="119">
        <v>7</v>
      </c>
      <c r="BF5" s="119">
        <v>8</v>
      </c>
      <c r="BG5" s="119">
        <v>9</v>
      </c>
      <c r="BH5" s="119">
        <v>10</v>
      </c>
      <c r="BI5" s="119">
        <v>11</v>
      </c>
      <c r="BJ5" s="119">
        <v>12</v>
      </c>
    </row>
    <row r="6" spans="1:62">
      <c r="B6" s="115" t="s">
        <v>33</v>
      </c>
      <c r="C6" s="120">
        <v>480.06974000000002</v>
      </c>
      <c r="D6" s="120">
        <v>447.06907000000001</v>
      </c>
      <c r="E6" s="120">
        <v>536.90913999999998</v>
      </c>
      <c r="F6" s="120">
        <v>512.25990999999999</v>
      </c>
      <c r="G6" s="120">
        <v>507.25161000000003</v>
      </c>
      <c r="H6" s="120">
        <v>547.78904999999997</v>
      </c>
      <c r="I6" s="120">
        <v>554.61518000000001</v>
      </c>
      <c r="J6" s="120">
        <v>531.65103999999997</v>
      </c>
      <c r="K6" s="120">
        <v>559.13861999999995</v>
      </c>
      <c r="L6" s="120">
        <v>556.60373000000004</v>
      </c>
      <c r="M6" s="120">
        <v>603.30542000000003</v>
      </c>
      <c r="N6" s="120">
        <v>607.34117000000003</v>
      </c>
      <c r="O6" s="120">
        <v>554.55376000000001</v>
      </c>
      <c r="P6" s="120">
        <v>541.55835000000002</v>
      </c>
      <c r="Q6" s="120">
        <v>637.86834999999996</v>
      </c>
      <c r="R6" s="120">
        <v>578.42816000000005</v>
      </c>
      <c r="S6" s="120">
        <v>615.91326000000004</v>
      </c>
      <c r="T6" s="120">
        <v>576.79934000000003</v>
      </c>
      <c r="U6" s="120">
        <v>602.41773999999998</v>
      </c>
      <c r="V6" s="120">
        <v>566.05949999999996</v>
      </c>
      <c r="W6" s="120">
        <v>571.76300000000003</v>
      </c>
      <c r="X6" s="120">
        <v>524.28092000000004</v>
      </c>
      <c r="Y6" s="120">
        <v>517.71855000000005</v>
      </c>
      <c r="Z6" s="120">
        <v>548.48666000000003</v>
      </c>
      <c r="AA6" s="120">
        <v>463.39145000000002</v>
      </c>
      <c r="AB6" s="120">
        <v>499.94592999999998</v>
      </c>
      <c r="AC6" s="120">
        <v>548.82483999999999</v>
      </c>
      <c r="AD6" s="120">
        <v>494.30878999999999</v>
      </c>
      <c r="AE6" s="120">
        <v>520.54195000000004</v>
      </c>
      <c r="AF6" s="120">
        <v>542.97753999999998</v>
      </c>
      <c r="AG6" s="120">
        <v>504.57776000000001</v>
      </c>
      <c r="AH6" s="120">
        <v>519.94074000000001</v>
      </c>
      <c r="AI6" s="120">
        <v>546.50690999999995</v>
      </c>
      <c r="AJ6" s="120">
        <v>549.89949999999999</v>
      </c>
      <c r="AK6" s="120">
        <v>555.61090000000002</v>
      </c>
      <c r="AL6" s="120">
        <v>575.73193000000003</v>
      </c>
      <c r="AM6" s="120">
        <v>547.09822999999994</v>
      </c>
      <c r="AN6" s="120">
        <v>520.76390000000004</v>
      </c>
      <c r="AO6" s="120">
        <v>565.18308999999999</v>
      </c>
      <c r="AP6" s="123">
        <v>561.48298999999997</v>
      </c>
      <c r="AQ6" s="123">
        <v>580.20556999999997</v>
      </c>
      <c r="AR6" s="123">
        <v>573.41633999999999</v>
      </c>
      <c r="AS6" s="120">
        <v>574.58788000000004</v>
      </c>
      <c r="AT6" s="120">
        <v>576.42924000000005</v>
      </c>
      <c r="AU6" s="120">
        <v>585.44692999999995</v>
      </c>
      <c r="AV6" s="120">
        <v>575.00192000000004</v>
      </c>
      <c r="AW6" s="120">
        <v>562.88629000000003</v>
      </c>
      <c r="AX6" s="120">
        <v>613.59249999999997</v>
      </c>
      <c r="AY6" s="120">
        <v>491.61061000000001</v>
      </c>
      <c r="AZ6" s="120">
        <v>522.88471000000004</v>
      </c>
      <c r="BA6" s="120">
        <v>580.90111000000002</v>
      </c>
      <c r="BB6" s="120">
        <v>581.22861999999998</v>
      </c>
      <c r="BC6" s="120">
        <v>572.53878999999995</v>
      </c>
      <c r="BD6" s="21">
        <v>598</v>
      </c>
      <c r="BE6" s="21">
        <v>607</v>
      </c>
      <c r="BF6" s="21">
        <v>584</v>
      </c>
      <c r="BG6" s="21">
        <v>660</v>
      </c>
      <c r="BH6" s="21"/>
      <c r="BI6" s="21"/>
      <c r="BJ6" s="21"/>
    </row>
    <row r="7" spans="1:62">
      <c r="B7" s="115" t="s">
        <v>34</v>
      </c>
      <c r="C7" s="120">
        <v>444.56822</v>
      </c>
      <c r="D7" s="120">
        <v>424.04635999999999</v>
      </c>
      <c r="E7" s="120">
        <v>497.42554999999999</v>
      </c>
      <c r="F7" s="120">
        <v>508.91152</v>
      </c>
      <c r="G7" s="120">
        <v>479.10521999999997</v>
      </c>
      <c r="H7" s="120">
        <v>504.29027000000002</v>
      </c>
      <c r="I7" s="120">
        <v>536.76256000000001</v>
      </c>
      <c r="J7" s="120">
        <v>515.81092999999998</v>
      </c>
      <c r="K7" s="120">
        <v>516.36341000000004</v>
      </c>
      <c r="L7" s="120">
        <v>538.47824000000003</v>
      </c>
      <c r="M7" s="120">
        <v>573.57548999999995</v>
      </c>
      <c r="N7" s="120">
        <v>611.59671000000003</v>
      </c>
      <c r="O7" s="120">
        <v>606.06721000000005</v>
      </c>
      <c r="P7" s="120">
        <v>534.82054000000005</v>
      </c>
      <c r="Q7" s="120">
        <v>638.11102000000005</v>
      </c>
      <c r="R7" s="120">
        <v>602.13184999999999</v>
      </c>
      <c r="S7" s="120">
        <v>631.68380000000002</v>
      </c>
      <c r="T7" s="120">
        <v>601.49905999999999</v>
      </c>
      <c r="U7" s="120">
        <v>652.59838000000002</v>
      </c>
      <c r="V7" s="120">
        <v>660.27733000000001</v>
      </c>
      <c r="W7" s="120">
        <v>610.12837000000002</v>
      </c>
      <c r="X7" s="120">
        <v>591.67184999999995</v>
      </c>
      <c r="Y7" s="120">
        <v>588.47654999999997</v>
      </c>
      <c r="Z7" s="120">
        <v>596.23062000000004</v>
      </c>
      <c r="AA7" s="120">
        <v>590.37258999999995</v>
      </c>
      <c r="AB7" s="120">
        <v>553.70497999999998</v>
      </c>
      <c r="AC7" s="120">
        <v>596.35919999999999</v>
      </c>
      <c r="AD7" s="120">
        <v>519.40137000000004</v>
      </c>
      <c r="AE7" s="120">
        <v>542.51193999999998</v>
      </c>
      <c r="AF7" s="120">
        <v>530.5548</v>
      </c>
      <c r="AG7" s="120">
        <v>487.38114000000002</v>
      </c>
      <c r="AH7" s="120">
        <v>510.09757999999999</v>
      </c>
      <c r="AI7" s="120">
        <v>509.72525000000002</v>
      </c>
      <c r="AJ7" s="120">
        <v>534.40581999999995</v>
      </c>
      <c r="AK7" s="120">
        <v>519.97805000000005</v>
      </c>
      <c r="AL7" s="120">
        <v>531.22853999999995</v>
      </c>
      <c r="AM7" s="120">
        <v>544.74611000000004</v>
      </c>
      <c r="AN7" s="120">
        <v>482.21859999999998</v>
      </c>
      <c r="AO7" s="120">
        <v>521.12905000000001</v>
      </c>
      <c r="AP7" s="123">
        <v>548.21181000000001</v>
      </c>
      <c r="AQ7" s="123">
        <v>531.32937000000004</v>
      </c>
      <c r="AR7" s="123">
        <v>490.90192999999999</v>
      </c>
      <c r="AS7" s="120">
        <v>538.38742000000002</v>
      </c>
      <c r="AT7" s="120">
        <v>540.54894000000002</v>
      </c>
      <c r="AU7" s="120">
        <v>521.02925000000005</v>
      </c>
      <c r="AV7" s="120">
        <v>543.31588999999997</v>
      </c>
      <c r="AW7" s="120">
        <v>507.18991999999997</v>
      </c>
      <c r="AX7" s="120">
        <v>548.66380000000004</v>
      </c>
      <c r="AY7" s="120">
        <v>510.12633</v>
      </c>
      <c r="AZ7" s="120">
        <v>482.97480999999999</v>
      </c>
      <c r="BA7" s="120">
        <v>532.87070000000006</v>
      </c>
      <c r="BB7" s="120">
        <v>533.03237000000001</v>
      </c>
      <c r="BC7" s="120">
        <v>503.22784000000001</v>
      </c>
      <c r="BD7" s="21">
        <v>507</v>
      </c>
      <c r="BE7" s="21">
        <v>542</v>
      </c>
      <c r="BF7" s="21">
        <v>518</v>
      </c>
      <c r="BG7" s="21">
        <v>564</v>
      </c>
      <c r="BH7" s="21"/>
      <c r="BI7" s="21"/>
      <c r="BJ7" s="21"/>
    </row>
    <row r="8" spans="1:62" ht="16.5" customHeight="1">
      <c r="B8" s="25" t="s">
        <v>35</v>
      </c>
      <c r="C8" s="120">
        <v>35.501519999999999</v>
      </c>
      <c r="D8" s="120">
        <v>23.02271</v>
      </c>
      <c r="E8" s="120">
        <v>39.48359</v>
      </c>
      <c r="F8" s="120">
        <v>3.3483999999999998</v>
      </c>
      <c r="G8" s="120">
        <v>28.1464</v>
      </c>
      <c r="H8" s="120">
        <v>43.498779999999996</v>
      </c>
      <c r="I8" s="120">
        <v>17.852620000000002</v>
      </c>
      <c r="J8" s="120">
        <v>15.840109999999999</v>
      </c>
      <c r="K8" s="120">
        <v>42.775210000000001</v>
      </c>
      <c r="L8" s="120">
        <v>18.12548</v>
      </c>
      <c r="M8" s="120">
        <v>29.72993</v>
      </c>
      <c r="N8" s="120">
        <v>-4.2555399999999999</v>
      </c>
      <c r="O8" s="120">
        <v>-51.513449999999999</v>
      </c>
      <c r="P8" s="120">
        <v>6.7378200000000001</v>
      </c>
      <c r="Q8" s="120">
        <v>-0.24267</v>
      </c>
      <c r="R8" s="120">
        <v>-23.703690000000002</v>
      </c>
      <c r="S8" s="120">
        <v>-15.770530000000001</v>
      </c>
      <c r="T8" s="120">
        <v>-24.699719999999999</v>
      </c>
      <c r="U8" s="120">
        <v>-50.180639999999997</v>
      </c>
      <c r="V8" s="120">
        <v>-94.217830000000006</v>
      </c>
      <c r="W8" s="120">
        <v>-38.365369999999999</v>
      </c>
      <c r="X8" s="120">
        <v>-67.390940000000001</v>
      </c>
      <c r="Y8" s="120">
        <v>-70.757990000000007</v>
      </c>
      <c r="Z8" s="120">
        <v>-47.743960000000001</v>
      </c>
      <c r="AA8" s="120">
        <v>-126.98112999999999</v>
      </c>
      <c r="AB8" s="120">
        <v>-53.759050000000002</v>
      </c>
      <c r="AC8" s="120">
        <v>-47.53436</v>
      </c>
      <c r="AD8" s="120">
        <v>-25.092569999999998</v>
      </c>
      <c r="AE8" s="120">
        <v>-21.97</v>
      </c>
      <c r="AF8" s="120">
        <v>12.422739999999999</v>
      </c>
      <c r="AG8" s="120">
        <v>17.196619999999999</v>
      </c>
      <c r="AH8" s="120">
        <v>9.8431599999999992</v>
      </c>
      <c r="AI8" s="120">
        <v>36.781669999999998</v>
      </c>
      <c r="AJ8" s="120">
        <v>15.493679999999999</v>
      </c>
      <c r="AK8" s="120">
        <v>35.632849999999998</v>
      </c>
      <c r="AL8" s="120">
        <v>44.503390000000003</v>
      </c>
      <c r="AM8" s="120">
        <v>2.3521299999999998</v>
      </c>
      <c r="AN8" s="120">
        <v>38.545290000000001</v>
      </c>
      <c r="AO8" s="120">
        <v>44.054040000000001</v>
      </c>
      <c r="AP8" s="123">
        <v>13.271179999999999</v>
      </c>
      <c r="AQ8" s="123">
        <v>48.876199999999997</v>
      </c>
      <c r="AR8" s="123">
        <v>82.514409999999998</v>
      </c>
      <c r="AS8" s="120">
        <v>36.20046</v>
      </c>
      <c r="AT8" s="120">
        <v>35.880299999999998</v>
      </c>
      <c r="AU8" s="120">
        <v>64.417680000000004</v>
      </c>
      <c r="AV8" s="120">
        <v>31.686039999999998</v>
      </c>
      <c r="AW8" s="120">
        <v>55.696370000000002</v>
      </c>
      <c r="AX8" s="120">
        <v>64.928700000000006</v>
      </c>
      <c r="AY8" s="120">
        <v>-18.515720000000002</v>
      </c>
      <c r="AZ8" s="120">
        <v>39.9099</v>
      </c>
      <c r="BA8" s="120">
        <v>48.030410000000003</v>
      </c>
      <c r="BB8" s="120">
        <v>48.196249999999999</v>
      </c>
      <c r="BC8" s="120">
        <v>69.310940000000002</v>
      </c>
      <c r="BD8" s="21">
        <v>91</v>
      </c>
      <c r="BE8" s="21">
        <v>65</v>
      </c>
      <c r="BF8" s="21">
        <v>65</v>
      </c>
      <c r="BG8" s="21">
        <v>96</v>
      </c>
      <c r="BH8" s="21"/>
      <c r="BI8" s="21"/>
      <c r="BJ8" s="21"/>
    </row>
    <row r="10" spans="1:62" s="116" customFormat="1">
      <c r="AP10" s="18">
        <f>(AP6-AD6)/AD6*100</f>
        <v>13.589521642939021</v>
      </c>
      <c r="AQ10" s="18">
        <f>(AQ6-AE6)/AE6*100</f>
        <v>11.461827428125613</v>
      </c>
      <c r="AR10" s="18">
        <f>(AR6-AF6)/AF6*100</f>
        <v>5.6059040674131779</v>
      </c>
      <c r="AS10" s="18">
        <f>(AS6-AG6)/AG6*100</f>
        <v>13.874991240200524</v>
      </c>
      <c r="AT10" s="18">
        <f t="shared" ref="AT10:AU10" si="0">(AT6-AH6)/AH6*100</f>
        <v>10.864411201938138</v>
      </c>
      <c r="AU10" s="18">
        <f t="shared" si="0"/>
        <v>7.1252566596093008</v>
      </c>
      <c r="AV10" s="18">
        <f t="shared" ref="AV10" si="1">(AV6-AJ6)/AJ6*100</f>
        <v>4.5649104972817858</v>
      </c>
      <c r="AW10" s="18">
        <f t="shared" ref="AW10" si="2">(AW6-AK6)/AK6*100</f>
        <v>1.3094397536117479</v>
      </c>
      <c r="AX10" s="18">
        <f t="shared" ref="AX10" si="3">(AX6-AL6)/AL6*100</f>
        <v>6.576076126262433</v>
      </c>
      <c r="AY10" s="18">
        <f t="shared" ref="AY10" si="4">(AY6-AM6)/AM6*100</f>
        <v>-10.142167705422835</v>
      </c>
      <c r="AZ10" s="18">
        <f t="shared" ref="AZ10" si="5">(AZ6-AN6)/AN6*100</f>
        <v>0.40724981128684334</v>
      </c>
      <c r="BA10" s="18">
        <f t="shared" ref="BA10" si="6">(BA6-AO6)/AO6*100</f>
        <v>2.7810492348594549</v>
      </c>
      <c r="BB10" s="18">
        <f t="shared" ref="BB10" si="7">(BB6-AP6)/AP6*100</f>
        <v>3.5166924647174094</v>
      </c>
      <c r="BC10" s="18">
        <f t="shared" ref="BC10" si="8">(BC6-AQ6)/AQ6*100</f>
        <v>-1.3213902789661287</v>
      </c>
      <c r="BD10" s="18">
        <f t="shared" ref="BD10" si="9">(BD6-AR6)/AR6*100</f>
        <v>4.287226973685474</v>
      </c>
      <c r="BE10" s="18">
        <f t="shared" ref="BE10" si="10">(BE6-AS6)/AS6*100</f>
        <v>5.6409334634764585</v>
      </c>
      <c r="BF10" s="18">
        <f t="shared" ref="BF10" si="11">(BF6-AT6)/AT6*100</f>
        <v>1.3133893068991347</v>
      </c>
      <c r="BG10" s="18">
        <f>(BG6-AU6)/AU6*100</f>
        <v>12.734385676939164</v>
      </c>
    </row>
    <row r="11" spans="1:62" s="116" customFormat="1">
      <c r="B11" s="368" t="s">
        <v>206</v>
      </c>
      <c r="C11" s="367">
        <v>2021</v>
      </c>
      <c r="D11" s="367"/>
      <c r="E11" s="367"/>
      <c r="F11" s="367"/>
      <c r="G11" s="367">
        <v>2022</v>
      </c>
      <c r="H11" s="367"/>
      <c r="I11" s="367"/>
      <c r="J11" s="367"/>
      <c r="K11" s="367">
        <v>2023</v>
      </c>
      <c r="L11" s="367"/>
      <c r="M11" s="367"/>
      <c r="N11" s="367"/>
      <c r="O11" s="367">
        <v>2024</v>
      </c>
      <c r="P11" s="367"/>
      <c r="Q11" s="367"/>
      <c r="R11" s="367"/>
      <c r="S11" s="367">
        <v>2025</v>
      </c>
      <c r="T11" s="367"/>
      <c r="U11" s="367"/>
      <c r="V11" s="367"/>
    </row>
    <row r="12" spans="1:62" s="116" customFormat="1">
      <c r="B12" s="368"/>
      <c r="C12" s="113" t="s">
        <v>208</v>
      </c>
      <c r="D12" s="113" t="s">
        <v>209</v>
      </c>
      <c r="E12" s="113" t="s">
        <v>210</v>
      </c>
      <c r="F12" s="113" t="s">
        <v>211</v>
      </c>
      <c r="G12" s="113" t="s">
        <v>208</v>
      </c>
      <c r="H12" s="113" t="s">
        <v>209</v>
      </c>
      <c r="I12" s="113" t="s">
        <v>210</v>
      </c>
      <c r="J12" s="113" t="s">
        <v>211</v>
      </c>
      <c r="K12" s="113" t="s">
        <v>208</v>
      </c>
      <c r="L12" s="113" t="s">
        <v>209</v>
      </c>
      <c r="M12" s="113" t="s">
        <v>210</v>
      </c>
      <c r="N12" s="113" t="s">
        <v>211</v>
      </c>
      <c r="O12" s="113" t="s">
        <v>208</v>
      </c>
      <c r="P12" s="113" t="s">
        <v>209</v>
      </c>
      <c r="Q12" s="113" t="s">
        <v>210</v>
      </c>
      <c r="R12" s="113" t="s">
        <v>211</v>
      </c>
      <c r="S12" s="113" t="s">
        <v>208</v>
      </c>
      <c r="T12" s="113" t="s">
        <v>209</v>
      </c>
      <c r="U12" s="113" t="s">
        <v>210</v>
      </c>
      <c r="V12" s="113" t="s">
        <v>211</v>
      </c>
    </row>
    <row r="13" spans="1:62">
      <c r="B13" s="115" t="s">
        <v>33</v>
      </c>
      <c r="C13" s="23">
        <f>C6+D6+E6</f>
        <v>1464.0479500000001</v>
      </c>
      <c r="D13" s="23">
        <f>SUM(C6:H6)</f>
        <v>3031.34852</v>
      </c>
      <c r="E13" s="23">
        <f>SUM(C6:K6)</f>
        <v>4676.7533599999997</v>
      </c>
      <c r="F13" s="23">
        <f>SUM(C6:N6)</f>
        <v>6444.0036799999989</v>
      </c>
      <c r="G13" s="23">
        <f>SUM(O6:Q6)</f>
        <v>1733.98046</v>
      </c>
      <c r="H13" s="23">
        <f>SUM(O6:T6)</f>
        <v>3505.1212200000004</v>
      </c>
      <c r="I13" s="23">
        <f>SUM(O6:W6)</f>
        <v>5245.361460000001</v>
      </c>
      <c r="J13" s="23">
        <f>SUM(O6:Z6)</f>
        <v>6835.8475900000012</v>
      </c>
      <c r="K13" s="23">
        <f>SUM(AA6:AC6)</f>
        <v>1512.1622199999999</v>
      </c>
      <c r="L13" s="23">
        <f>SUM(AA6:AF6)</f>
        <v>3069.9904999999999</v>
      </c>
      <c r="M13" s="23">
        <f>SUM(AA6:AI6)</f>
        <v>4641.0159100000001</v>
      </c>
      <c r="N13" s="23">
        <f>SUM(AA6:AL6)</f>
        <v>6322.2582399999992</v>
      </c>
      <c r="O13" s="23">
        <f>SUM(AM6:AO6)</f>
        <v>1633.04522</v>
      </c>
      <c r="P13" s="23">
        <f>SUM(AM6:AR6)</f>
        <v>3348.1501200000002</v>
      </c>
      <c r="Q13" s="23">
        <f>SUM(AM6:AU6)</f>
        <v>5084.6141700000007</v>
      </c>
      <c r="R13" s="23">
        <f>SUM(AM6:AX6)</f>
        <v>6836.0948800000006</v>
      </c>
      <c r="S13" s="23">
        <f>SUM(AY6:BA6)</f>
        <v>1595.39643</v>
      </c>
      <c r="T13" s="48">
        <v>3347</v>
      </c>
      <c r="U13" s="23">
        <f>SUM(AY6:BG6)</f>
        <v>5198.1638400000002</v>
      </c>
      <c r="V13" s="113"/>
    </row>
    <row r="14" spans="1:62">
      <c r="B14" s="115" t="s">
        <v>35</v>
      </c>
      <c r="C14" s="121">
        <f>C8+D8+E8</f>
        <v>98.007820000000009</v>
      </c>
      <c r="D14" s="23">
        <f>SUM(C8:H8)</f>
        <v>173.00139999999999</v>
      </c>
      <c r="E14" s="23">
        <f>SUM(C8:K8)</f>
        <v>249.46933999999999</v>
      </c>
      <c r="F14" s="23">
        <f>SUM(C8:N8)</f>
        <v>293.06921</v>
      </c>
      <c r="G14" s="23">
        <f>SUM(O8:Q8)</f>
        <v>-45.018299999999996</v>
      </c>
      <c r="H14" s="23">
        <f>SUM(O8:T8)</f>
        <v>-109.19224000000001</v>
      </c>
      <c r="I14" s="23">
        <f>SUM(O8:W8)</f>
        <v>-291.95607999999999</v>
      </c>
      <c r="J14" s="23">
        <f>SUM(O8:Z8)</f>
        <v>-477.84897000000001</v>
      </c>
      <c r="K14" s="23">
        <f>SUM(AA8:AC8)</f>
        <v>-228.27454</v>
      </c>
      <c r="L14" s="23">
        <f>SUM(AA8:AF8)</f>
        <v>-262.91437000000002</v>
      </c>
      <c r="M14" s="23">
        <f>SUM(AA8:AI8)</f>
        <v>-199.09292000000002</v>
      </c>
      <c r="N14" s="23">
        <f>SUM(AA8:AL8)</f>
        <v>-103.46300000000002</v>
      </c>
      <c r="O14" s="23">
        <f>SUM(AM8:AO8)</f>
        <v>84.951459999999997</v>
      </c>
      <c r="P14" s="23">
        <f>SUM(AM8:AR8)</f>
        <v>229.61324999999999</v>
      </c>
      <c r="Q14" s="23">
        <f>SUM(AM8:AU8)</f>
        <v>366.11169000000001</v>
      </c>
      <c r="R14" s="23">
        <f>SUM(AM8:AX8)</f>
        <v>518.42280000000005</v>
      </c>
      <c r="S14" s="23">
        <f>SUM(AY8:BA8)</f>
        <v>69.424589999999995</v>
      </c>
      <c r="T14" s="113">
        <v>278</v>
      </c>
      <c r="U14" s="23">
        <f>SUM(AY8:BG8)</f>
        <v>503.93178</v>
      </c>
      <c r="V14" s="113"/>
    </row>
    <row r="16" spans="1:62">
      <c r="E16" s="359" t="s">
        <v>38</v>
      </c>
      <c r="F16" s="359"/>
      <c r="G16" s="359"/>
    </row>
    <row r="17" spans="2:52">
      <c r="B17" s="267" t="s">
        <v>89</v>
      </c>
      <c r="C17" s="113">
        <v>2020</v>
      </c>
      <c r="D17" s="113">
        <v>2021</v>
      </c>
      <c r="E17" s="113">
        <v>2022</v>
      </c>
      <c r="F17" s="113">
        <v>2023</v>
      </c>
      <c r="G17" s="113">
        <v>2024</v>
      </c>
      <c r="H17" s="113">
        <v>2025</v>
      </c>
      <c r="M17" s="36">
        <v>20.100000000000001</v>
      </c>
      <c r="N17" s="113">
        <v>2</v>
      </c>
      <c r="O17" s="113">
        <v>3</v>
      </c>
      <c r="P17" s="113">
        <v>4</v>
      </c>
      <c r="Q17" s="113">
        <v>5</v>
      </c>
      <c r="R17" s="113">
        <v>6</v>
      </c>
      <c r="S17" s="113">
        <v>7</v>
      </c>
      <c r="T17" s="113">
        <v>8</v>
      </c>
      <c r="U17" s="113">
        <v>9</v>
      </c>
      <c r="V17" s="113">
        <v>10</v>
      </c>
      <c r="W17" s="113">
        <v>11</v>
      </c>
      <c r="X17" s="113">
        <v>12</v>
      </c>
    </row>
    <row r="18" spans="2:52">
      <c r="B18" s="113" t="s">
        <v>36</v>
      </c>
      <c r="C18" s="23">
        <f>U19</f>
        <v>3707</v>
      </c>
      <c r="D18" s="48">
        <f>E13</f>
        <v>4676.7533599999997</v>
      </c>
      <c r="E18" s="48">
        <f>I13</f>
        <v>5245.361460000001</v>
      </c>
      <c r="F18" s="23">
        <f>M13</f>
        <v>4641.0159100000001</v>
      </c>
      <c r="G18" s="23">
        <f>Q13</f>
        <v>5084.6141700000007</v>
      </c>
      <c r="H18" s="48">
        <f>U13</f>
        <v>5198.1638400000002</v>
      </c>
      <c r="M18" s="120">
        <v>431</v>
      </c>
      <c r="N18" s="120">
        <v>409</v>
      </c>
      <c r="O18" s="120">
        <v>462</v>
      </c>
      <c r="P18" s="120">
        <v>363</v>
      </c>
      <c r="Q18" s="120">
        <v>349</v>
      </c>
      <c r="R18" s="120">
        <v>392</v>
      </c>
      <c r="S18" s="120">
        <v>428</v>
      </c>
      <c r="T18" s="120">
        <v>395</v>
      </c>
      <c r="U18" s="120">
        <v>478</v>
      </c>
      <c r="V18" s="120">
        <v>448</v>
      </c>
      <c r="W18" s="120">
        <v>458</v>
      </c>
      <c r="X18" s="120">
        <v>513</v>
      </c>
    </row>
    <row r="19" spans="2:52">
      <c r="B19" s="113" t="s">
        <v>37</v>
      </c>
      <c r="C19" s="113"/>
      <c r="D19" s="122">
        <f>(D18-C18)/C18*100</f>
        <v>26.160058268141345</v>
      </c>
      <c r="E19" s="122">
        <f t="shared" ref="E19" si="12">(E18-D18)/D18*100</f>
        <v>12.158180178225205</v>
      </c>
      <c r="F19" s="122">
        <f>(F18-E18)/E18*100</f>
        <v>-11.521523437585953</v>
      </c>
      <c r="G19" s="122">
        <f>(G18-F18)/F18*100</f>
        <v>9.558214593580237</v>
      </c>
      <c r="H19" s="122">
        <f>(H18-G18)/G18*100</f>
        <v>2.2332013050264421</v>
      </c>
      <c r="M19" s="120"/>
      <c r="N19" s="120"/>
      <c r="O19" s="120">
        <f>M18+N18+O18</f>
        <v>1302</v>
      </c>
      <c r="P19" s="120"/>
      <c r="Q19" s="120"/>
      <c r="R19" s="120">
        <f>SUM(M18:R18)</f>
        <v>2406</v>
      </c>
      <c r="S19" s="120"/>
      <c r="T19" s="120"/>
      <c r="U19" s="120">
        <f>SUM(M18:U18)</f>
        <v>3707</v>
      </c>
      <c r="V19" s="120"/>
      <c r="W19" s="120"/>
      <c r="X19" s="120">
        <f>SUM(M18:X18)</f>
        <v>5126</v>
      </c>
      <c r="AY19" s="291" t="s">
        <v>414</v>
      </c>
      <c r="AZ19" s="287">
        <v>159547</v>
      </c>
    </row>
    <row r="20" spans="2:52">
      <c r="AY20" s="291" t="s">
        <v>415</v>
      </c>
      <c r="AZ20" s="288">
        <v>175206</v>
      </c>
    </row>
    <row r="21" spans="2:52">
      <c r="AY21" s="291" t="s">
        <v>416</v>
      </c>
      <c r="AZ21" s="289">
        <v>185028</v>
      </c>
    </row>
    <row r="22" spans="2:52">
      <c r="AY22" s="292">
        <v>1</v>
      </c>
      <c r="AZ22" s="288">
        <v>49185</v>
      </c>
    </row>
    <row r="23" spans="2:52">
      <c r="AY23" s="292">
        <v>2</v>
      </c>
      <c r="AZ23" s="288">
        <v>52296</v>
      </c>
    </row>
    <row r="24" spans="2:52">
      <c r="AY24" s="292">
        <v>3</v>
      </c>
      <c r="AZ24" s="288">
        <v>58066</v>
      </c>
    </row>
    <row r="25" spans="2:52">
      <c r="AY25" s="292">
        <v>4</v>
      </c>
      <c r="AZ25" s="288">
        <v>58105</v>
      </c>
    </row>
    <row r="26" spans="2:52">
      <c r="AY26" s="292">
        <v>5</v>
      </c>
      <c r="AZ26" s="288">
        <v>57260</v>
      </c>
    </row>
    <row r="27" spans="2:52">
      <c r="AY27" s="292">
        <v>6</v>
      </c>
      <c r="AZ27" s="288">
        <v>59841</v>
      </c>
    </row>
    <row r="28" spans="2:52">
      <c r="AY28" s="292">
        <v>7</v>
      </c>
      <c r="AZ28" s="288">
        <v>60714</v>
      </c>
    </row>
    <row r="29" spans="2:52">
      <c r="AY29" s="292">
        <v>8</v>
      </c>
      <c r="AZ29" s="288">
        <v>58360</v>
      </c>
    </row>
    <row r="30" spans="2:52">
      <c r="O30" s="281"/>
      <c r="AY30" s="293">
        <v>9</v>
      </c>
      <c r="AZ30" s="290">
        <v>65954</v>
      </c>
    </row>
    <row r="36" spans="2:22" s="116" customFormat="1">
      <c r="B36" s="368" t="s">
        <v>206</v>
      </c>
      <c r="C36" s="367">
        <v>2021</v>
      </c>
      <c r="D36" s="367"/>
      <c r="E36" s="367"/>
      <c r="F36" s="367"/>
      <c r="G36" s="367">
        <v>2022</v>
      </c>
      <c r="H36" s="367"/>
      <c r="I36" s="367"/>
      <c r="J36" s="367"/>
      <c r="K36" s="367">
        <v>2023</v>
      </c>
      <c r="L36" s="367"/>
      <c r="M36" s="367"/>
      <c r="N36" s="367"/>
      <c r="O36" s="367">
        <v>2024</v>
      </c>
      <c r="P36" s="367"/>
      <c r="Q36" s="367"/>
      <c r="R36" s="367"/>
      <c r="S36" s="367">
        <v>2025</v>
      </c>
      <c r="T36" s="367"/>
      <c r="U36" s="367"/>
      <c r="V36" s="367"/>
    </row>
    <row r="37" spans="2:22" s="116" customFormat="1">
      <c r="B37" s="368"/>
      <c r="C37" s="113" t="s">
        <v>208</v>
      </c>
      <c r="D37" s="113" t="s">
        <v>209</v>
      </c>
      <c r="E37" s="113" t="s">
        <v>210</v>
      </c>
      <c r="F37" s="113" t="s">
        <v>211</v>
      </c>
      <c r="G37" s="113" t="s">
        <v>208</v>
      </c>
      <c r="H37" s="113" t="s">
        <v>209</v>
      </c>
      <c r="I37" s="113" t="s">
        <v>210</v>
      </c>
      <c r="J37" s="113" t="s">
        <v>211</v>
      </c>
      <c r="K37" s="113" t="s">
        <v>208</v>
      </c>
      <c r="L37" s="113" t="s">
        <v>209</v>
      </c>
      <c r="M37" s="113" t="s">
        <v>210</v>
      </c>
      <c r="N37" s="113" t="s">
        <v>211</v>
      </c>
      <c r="O37" s="113" t="s">
        <v>208</v>
      </c>
      <c r="P37" s="113" t="s">
        <v>209</v>
      </c>
      <c r="Q37" s="113" t="s">
        <v>210</v>
      </c>
      <c r="R37" s="113" t="s">
        <v>211</v>
      </c>
      <c r="S37" s="113" t="s">
        <v>208</v>
      </c>
      <c r="T37" s="113" t="s">
        <v>209</v>
      </c>
      <c r="U37" s="113" t="s">
        <v>210</v>
      </c>
      <c r="V37" s="113" t="s">
        <v>211</v>
      </c>
    </row>
    <row r="38" spans="2:22" s="116" customFormat="1">
      <c r="B38" s="115" t="s">
        <v>33</v>
      </c>
      <c r="C38" s="23">
        <f>C31+D31+E31</f>
        <v>0</v>
      </c>
      <c r="D38" s="23">
        <f>SUM(C31:H31)</f>
        <v>0</v>
      </c>
      <c r="E38" s="23">
        <f>SUM(C31:K31)</f>
        <v>0</v>
      </c>
      <c r="F38" s="23">
        <f>SUM(C31:N31)</f>
        <v>0</v>
      </c>
      <c r="G38" s="23">
        <f>SUM(O31:Q31)</f>
        <v>0</v>
      </c>
      <c r="H38" s="23">
        <f>SUM(O31:T31)</f>
        <v>0</v>
      </c>
      <c r="I38" s="23">
        <f>SUM(O31:W31)</f>
        <v>0</v>
      </c>
      <c r="J38" s="23">
        <f>SUM(O31:Z31)</f>
        <v>0</v>
      </c>
      <c r="K38" s="23">
        <f>SUM(AA31:AC31)</f>
        <v>0</v>
      </c>
      <c r="L38" s="23">
        <f>SUM(AA31:AF31)</f>
        <v>0</v>
      </c>
      <c r="M38" s="23">
        <f>SUM(AA31:AI31)</f>
        <v>0</v>
      </c>
      <c r="N38" s="23">
        <f>SUM(AA31:AL31)</f>
        <v>0</v>
      </c>
      <c r="O38" s="23">
        <f>SUM(AM31:AO31)</f>
        <v>0</v>
      </c>
      <c r="P38" s="23">
        <f>SUM(AM31:AR31)</f>
        <v>0</v>
      </c>
      <c r="Q38" s="23">
        <f>SUM(AM31:AU31)</f>
        <v>0</v>
      </c>
      <c r="R38" s="23">
        <f>SUM(AM31:AX31)</f>
        <v>0</v>
      </c>
      <c r="S38" s="23">
        <f>SUM(AY31:BA31)</f>
        <v>0</v>
      </c>
      <c r="T38" s="48">
        <v>3347</v>
      </c>
      <c r="U38" s="113"/>
      <c r="V38" s="113"/>
    </row>
    <row r="40" spans="2:22">
      <c r="B40" s="100" t="s">
        <v>413</v>
      </c>
      <c r="C40" s="100"/>
      <c r="D40" s="100"/>
      <c r="E40" s="359" t="s">
        <v>38</v>
      </c>
      <c r="F40" s="359"/>
      <c r="G40" s="359"/>
    </row>
    <row r="41" spans="2:22">
      <c r="B41" s="267" t="s">
        <v>89</v>
      </c>
      <c r="C41" s="113">
        <v>2020</v>
      </c>
      <c r="D41" s="113">
        <v>2021</v>
      </c>
      <c r="E41" s="113">
        <v>2022</v>
      </c>
      <c r="F41" s="113">
        <v>2023</v>
      </c>
      <c r="G41" s="113">
        <v>2024</v>
      </c>
      <c r="H41" s="113">
        <v>2025</v>
      </c>
    </row>
    <row r="42" spans="2:22">
      <c r="B42" s="257" t="s">
        <v>36</v>
      </c>
      <c r="C42" s="26">
        <v>55.2</v>
      </c>
      <c r="D42" s="26">
        <v>62.2</v>
      </c>
      <c r="E42" s="26">
        <v>66.599999999999994</v>
      </c>
      <c r="F42" s="27">
        <v>66.7</v>
      </c>
      <c r="G42" s="27">
        <v>72.099999999999994</v>
      </c>
      <c r="H42" s="26">
        <v>76.7</v>
      </c>
    </row>
    <row r="43" spans="2:22">
      <c r="B43" s="257" t="s">
        <v>37</v>
      </c>
      <c r="C43" s="26"/>
      <c r="D43" s="26">
        <f>(D42-C42)/C42*100</f>
        <v>12.681159420289854</v>
      </c>
      <c r="E43" s="26">
        <f>(E42-D42)/D42*100</f>
        <v>7.0739549839228157</v>
      </c>
      <c r="F43" s="26">
        <f>(F42-E42)/E42*100</f>
        <v>0.15015015015016298</v>
      </c>
      <c r="G43" s="26">
        <f>(G42-F42)/F42*100</f>
        <v>8.0959520239879925</v>
      </c>
      <c r="H43" s="26">
        <f>(H42-G42)/G42*100</f>
        <v>6.3800277392510525</v>
      </c>
    </row>
    <row r="44" spans="2:22" s="116" customFormat="1">
      <c r="B44" s="124"/>
      <c r="C44" s="125"/>
      <c r="D44" s="125"/>
      <c r="E44" s="125"/>
      <c r="F44" s="125"/>
      <c r="G44" s="125"/>
      <c r="H44" s="125"/>
    </row>
    <row r="46" spans="2:22">
      <c r="B46" s="113" t="s">
        <v>89</v>
      </c>
      <c r="C46" s="113">
        <v>2021</v>
      </c>
      <c r="D46" s="113">
        <v>2022</v>
      </c>
      <c r="E46" s="113">
        <v>2023</v>
      </c>
      <c r="F46" s="113">
        <v>2024</v>
      </c>
      <c r="G46" s="113">
        <v>2025</v>
      </c>
      <c r="H46" s="324">
        <v>2026</v>
      </c>
      <c r="M46" s="150"/>
      <c r="N46" s="150"/>
      <c r="O46" s="150"/>
      <c r="P46" s="150"/>
      <c r="Q46" s="150"/>
      <c r="R46" s="150"/>
      <c r="S46" s="150"/>
      <c r="T46" s="150"/>
      <c r="U46" s="150"/>
      <c r="V46" s="150"/>
    </row>
    <row r="47" spans="2:22" ht="21" customHeight="1">
      <c r="B47" s="113" t="s">
        <v>36</v>
      </c>
      <c r="C47" s="27"/>
      <c r="D47" s="27">
        <v>45</v>
      </c>
      <c r="E47" s="27">
        <v>44.7</v>
      </c>
      <c r="F47" s="27">
        <v>47.7</v>
      </c>
      <c r="G47" s="27">
        <v>51.6</v>
      </c>
      <c r="H47" s="27">
        <v>53.8</v>
      </c>
      <c r="M47" s="150"/>
      <c r="N47" s="150"/>
      <c r="O47" s="150"/>
      <c r="P47" s="150"/>
      <c r="Q47" s="150"/>
      <c r="R47" s="150"/>
      <c r="S47" s="150"/>
      <c r="T47" s="150"/>
      <c r="U47" s="150"/>
      <c r="V47" s="150"/>
    </row>
    <row r="48" spans="2:22" ht="21" customHeight="1">
      <c r="B48" s="113" t="s">
        <v>37</v>
      </c>
      <c r="C48" s="24"/>
      <c r="D48" s="24">
        <v>7.9</v>
      </c>
      <c r="E48" s="24">
        <v>-0.9</v>
      </c>
      <c r="F48" s="24">
        <v>6.7</v>
      </c>
      <c r="G48" s="24">
        <v>8.4</v>
      </c>
      <c r="H48" s="24">
        <v>5</v>
      </c>
      <c r="M48" s="150"/>
      <c r="N48" s="150"/>
      <c r="O48" s="150"/>
      <c r="P48" s="150"/>
      <c r="Q48" s="150"/>
      <c r="R48" s="150"/>
      <c r="S48" s="150"/>
      <c r="T48" s="150"/>
      <c r="U48" s="150"/>
      <c r="V48" s="150"/>
    </row>
    <row r="68" spans="2:7" ht="17.25" customHeight="1">
      <c r="E68" s="126"/>
    </row>
    <row r="73" spans="2:7" ht="24">
      <c r="B73" s="212"/>
    </row>
    <row r="74" spans="2:7">
      <c r="B74" s="358" t="s">
        <v>342</v>
      </c>
      <c r="C74" s="358"/>
      <c r="D74" s="358"/>
      <c r="E74" s="358"/>
      <c r="F74" s="358"/>
      <c r="G74" s="358"/>
    </row>
    <row r="75" spans="2:7" ht="39">
      <c r="B75" s="360" t="s">
        <v>20</v>
      </c>
      <c r="C75" s="360"/>
      <c r="D75" s="361"/>
      <c r="E75" s="178" t="s">
        <v>304</v>
      </c>
      <c r="F75" s="178" t="s">
        <v>306</v>
      </c>
      <c r="G75" s="356" t="s">
        <v>308</v>
      </c>
    </row>
    <row r="76" spans="2:7" ht="33.75" thickBot="1">
      <c r="B76" s="362"/>
      <c r="C76" s="362"/>
      <c r="D76" s="363"/>
      <c r="E76" s="179" t="s">
        <v>305</v>
      </c>
      <c r="F76" s="179" t="s">
        <v>307</v>
      </c>
      <c r="G76" s="357"/>
    </row>
    <row r="77" spans="2:7" ht="21" thickTop="1" thickBot="1">
      <c r="B77" s="364" t="s">
        <v>309</v>
      </c>
      <c r="C77" s="365"/>
      <c r="D77" s="366"/>
      <c r="E77" s="180">
        <v>6221.4</v>
      </c>
      <c r="F77" s="180">
        <v>6665.8</v>
      </c>
      <c r="G77" s="181">
        <v>7.1</v>
      </c>
    </row>
    <row r="78" spans="2:7" ht="21" thickTop="1" thickBot="1">
      <c r="B78" s="348" t="s">
        <v>310</v>
      </c>
      <c r="C78" s="349"/>
      <c r="D78" s="350"/>
      <c r="E78" s="182">
        <v>4765.2</v>
      </c>
      <c r="F78" s="183">
        <v>5163.7</v>
      </c>
      <c r="G78" s="184">
        <v>8.4</v>
      </c>
    </row>
    <row r="79" spans="2:7" ht="18" thickTop="1">
      <c r="B79" s="185"/>
      <c r="C79" s="351" t="s">
        <v>311</v>
      </c>
      <c r="D79" s="352"/>
      <c r="E79" s="186">
        <v>4034.4</v>
      </c>
      <c r="F79" s="187">
        <v>4450</v>
      </c>
      <c r="G79" s="188">
        <v>10.3</v>
      </c>
    </row>
    <row r="80" spans="2:7" ht="17.25">
      <c r="B80" s="343"/>
      <c r="C80" s="345"/>
      <c r="D80" s="189" t="s">
        <v>312</v>
      </c>
      <c r="E80" s="190">
        <v>590.20000000000005</v>
      </c>
      <c r="F80" s="190">
        <v>731.7</v>
      </c>
      <c r="G80" s="191">
        <v>24</v>
      </c>
    </row>
    <row r="81" spans="2:7" ht="17.25">
      <c r="B81" s="343"/>
      <c r="C81" s="346"/>
      <c r="D81" s="192" t="s">
        <v>313</v>
      </c>
      <c r="E81" s="193">
        <v>354.2</v>
      </c>
      <c r="F81" s="193">
        <v>372.2</v>
      </c>
      <c r="G81" s="194">
        <v>5.0999999999999996</v>
      </c>
    </row>
    <row r="82" spans="2:7" ht="17.25">
      <c r="B82" s="343"/>
      <c r="C82" s="346"/>
      <c r="D82" s="192" t="s">
        <v>314</v>
      </c>
      <c r="E82" s="193">
        <v>325.8</v>
      </c>
      <c r="F82" s="193">
        <v>343</v>
      </c>
      <c r="G82" s="194">
        <v>5.3</v>
      </c>
    </row>
    <row r="83" spans="2:7" ht="34.5">
      <c r="B83" s="343"/>
      <c r="C83" s="353"/>
      <c r="D83" s="195" t="s">
        <v>315</v>
      </c>
      <c r="E83" s="196">
        <v>136.5</v>
      </c>
      <c r="F83" s="196">
        <v>139</v>
      </c>
      <c r="G83" s="197">
        <v>1.8</v>
      </c>
    </row>
    <row r="84" spans="2:7" ht="17.25" customHeight="1">
      <c r="B84" s="198"/>
      <c r="C84" s="354" t="s">
        <v>316</v>
      </c>
      <c r="D84" s="355"/>
      <c r="E84" s="199">
        <v>730.8</v>
      </c>
      <c r="F84" s="199">
        <v>713.8</v>
      </c>
      <c r="G84" s="200" t="s">
        <v>317</v>
      </c>
    </row>
    <row r="85" spans="2:7" ht="17.25">
      <c r="B85" s="343"/>
      <c r="C85" s="345"/>
      <c r="D85" s="189" t="s">
        <v>318</v>
      </c>
      <c r="E85" s="190">
        <v>153</v>
      </c>
      <c r="F85" s="190">
        <v>131.30000000000001</v>
      </c>
      <c r="G85" s="191" t="s">
        <v>319</v>
      </c>
    </row>
    <row r="86" spans="2:7" ht="17.25">
      <c r="B86" s="343"/>
      <c r="C86" s="346"/>
      <c r="D86" s="192" t="s">
        <v>320</v>
      </c>
      <c r="E86" s="193">
        <v>83.8</v>
      </c>
      <c r="F86" s="193">
        <v>83.2</v>
      </c>
      <c r="G86" s="194" t="s">
        <v>321</v>
      </c>
    </row>
    <row r="87" spans="2:7" ht="17.25">
      <c r="B87" s="343"/>
      <c r="C87" s="346"/>
      <c r="D87" s="192" t="s">
        <v>322</v>
      </c>
      <c r="E87" s="193">
        <v>52.2</v>
      </c>
      <c r="F87" s="193">
        <v>52.4</v>
      </c>
      <c r="G87" s="194">
        <v>0.4</v>
      </c>
    </row>
    <row r="88" spans="2:7" ht="34.5">
      <c r="B88" s="343"/>
      <c r="C88" s="346"/>
      <c r="D88" s="192" t="s">
        <v>323</v>
      </c>
      <c r="E88" s="193">
        <v>25.2</v>
      </c>
      <c r="F88" s="201">
        <v>23.9</v>
      </c>
      <c r="G88" s="202" t="s">
        <v>324</v>
      </c>
    </row>
    <row r="89" spans="2:7" ht="17.25">
      <c r="B89" s="343"/>
      <c r="C89" s="346"/>
      <c r="D89" s="192" t="s">
        <v>325</v>
      </c>
      <c r="E89" s="193">
        <v>10.7</v>
      </c>
      <c r="F89" s="193">
        <v>14.2</v>
      </c>
      <c r="G89" s="194">
        <v>33.6</v>
      </c>
    </row>
    <row r="90" spans="2:7" ht="18" thickBot="1">
      <c r="B90" s="344"/>
      <c r="C90" s="347"/>
      <c r="D90" s="195" t="s">
        <v>326</v>
      </c>
      <c r="E90" s="196">
        <v>5.3</v>
      </c>
      <c r="F90" s="203">
        <v>5.0999999999999996</v>
      </c>
      <c r="G90" s="204" t="s">
        <v>327</v>
      </c>
    </row>
    <row r="91" spans="2:7" ht="21" thickTop="1" thickBot="1">
      <c r="B91" s="348" t="s">
        <v>328</v>
      </c>
      <c r="C91" s="349"/>
      <c r="D91" s="350"/>
      <c r="E91" s="182">
        <v>1456.2</v>
      </c>
      <c r="F91" s="182">
        <v>1502</v>
      </c>
      <c r="G91" s="205">
        <v>3.1</v>
      </c>
    </row>
    <row r="92" spans="2:7" ht="18" thickTop="1">
      <c r="B92" s="185"/>
      <c r="C92" s="351" t="s">
        <v>329</v>
      </c>
      <c r="D92" s="352"/>
      <c r="E92" s="206">
        <v>1333.8</v>
      </c>
      <c r="F92" s="206">
        <v>1400.2</v>
      </c>
      <c r="G92" s="188">
        <v>5</v>
      </c>
    </row>
    <row r="93" spans="2:7" ht="17.25">
      <c r="B93" s="343"/>
      <c r="C93" s="345"/>
      <c r="D93" s="189" t="s">
        <v>330</v>
      </c>
      <c r="E93" s="207">
        <v>701.9</v>
      </c>
      <c r="F93" s="190">
        <v>661</v>
      </c>
      <c r="G93" s="191" t="s">
        <v>331</v>
      </c>
    </row>
    <row r="94" spans="2:7" ht="17.25">
      <c r="B94" s="343"/>
      <c r="C94" s="346"/>
      <c r="D94" s="192" t="s">
        <v>332</v>
      </c>
      <c r="E94" s="193">
        <v>207.6</v>
      </c>
      <c r="F94" s="193">
        <v>221.8</v>
      </c>
      <c r="G94" s="194">
        <v>6.8</v>
      </c>
    </row>
    <row r="95" spans="2:7" ht="17.25">
      <c r="B95" s="343"/>
      <c r="C95" s="346"/>
      <c r="D95" s="192" t="s">
        <v>333</v>
      </c>
      <c r="E95" s="193">
        <v>400.4</v>
      </c>
      <c r="F95" s="193">
        <v>490.2</v>
      </c>
      <c r="G95" s="194">
        <v>22.4</v>
      </c>
    </row>
    <row r="96" spans="2:7" ht="17.25">
      <c r="B96" s="343"/>
      <c r="C96" s="353"/>
      <c r="D96" s="195" t="s">
        <v>334</v>
      </c>
      <c r="E96" s="196">
        <v>23.9</v>
      </c>
      <c r="F96" s="196">
        <v>27.3</v>
      </c>
      <c r="G96" s="197">
        <v>14.1</v>
      </c>
    </row>
    <row r="97" spans="2:9" ht="17.25" customHeight="1">
      <c r="B97" s="339"/>
      <c r="C97" s="341" t="s">
        <v>335</v>
      </c>
      <c r="D97" s="342"/>
      <c r="E97" s="208">
        <v>67.2</v>
      </c>
      <c r="F97" s="209">
        <v>44</v>
      </c>
      <c r="G97" s="210" t="s">
        <v>336</v>
      </c>
    </row>
    <row r="98" spans="2:9" ht="17.25" customHeight="1">
      <c r="B98" s="339"/>
      <c r="C98" s="341" t="s">
        <v>337</v>
      </c>
      <c r="D98" s="342"/>
      <c r="E98" s="208">
        <v>110.8</v>
      </c>
      <c r="F98" s="208">
        <v>167.2</v>
      </c>
      <c r="G98" s="210">
        <v>51</v>
      </c>
    </row>
    <row r="99" spans="2:9" ht="17.25" customHeight="1">
      <c r="B99" s="339"/>
      <c r="C99" s="341" t="s">
        <v>338</v>
      </c>
      <c r="D99" s="342"/>
      <c r="E99" s="208">
        <v>79.8</v>
      </c>
      <c r="F99" s="209">
        <v>80.099999999999994</v>
      </c>
      <c r="G99" s="210">
        <v>0.3</v>
      </c>
    </row>
    <row r="100" spans="2:9" ht="17.25" customHeight="1">
      <c r="B100" s="339"/>
      <c r="C100" s="341" t="s">
        <v>339</v>
      </c>
      <c r="D100" s="342"/>
      <c r="E100" s="209" t="s">
        <v>340</v>
      </c>
      <c r="F100" s="209" t="s">
        <v>340</v>
      </c>
      <c r="G100" s="211" t="s">
        <v>340</v>
      </c>
    </row>
    <row r="101" spans="2:9" ht="17.25" customHeight="1">
      <c r="B101" s="340"/>
      <c r="C101" s="341" t="s">
        <v>341</v>
      </c>
      <c r="D101" s="342"/>
      <c r="E101" s="209" t="s">
        <v>340</v>
      </c>
      <c r="F101" s="209" t="s">
        <v>340</v>
      </c>
      <c r="G101" s="211" t="s">
        <v>340</v>
      </c>
    </row>
    <row r="104" spans="2:9">
      <c r="E104" t="s">
        <v>624</v>
      </c>
    </row>
    <row r="105" spans="2:9">
      <c r="B105" t="s">
        <v>626</v>
      </c>
      <c r="C105">
        <v>2020</v>
      </c>
      <c r="D105">
        <v>2022</v>
      </c>
      <c r="E105">
        <v>2023</v>
      </c>
      <c r="F105">
        <v>2024</v>
      </c>
      <c r="G105">
        <v>2025</v>
      </c>
      <c r="H105">
        <v>2026</v>
      </c>
    </row>
    <row r="106" spans="2:9">
      <c r="B106" t="s">
        <v>625</v>
      </c>
      <c r="C106" s="126"/>
      <c r="D106" s="126">
        <v>1771.1</v>
      </c>
      <c r="E106" s="126">
        <v>1557.8</v>
      </c>
      <c r="F106" s="126">
        <v>1715.1</v>
      </c>
      <c r="G106" s="126">
        <v>1751.3</v>
      </c>
      <c r="H106" s="126">
        <v>2759</v>
      </c>
      <c r="I106" s="126"/>
    </row>
    <row r="107" spans="2:9">
      <c r="B107" t="s">
        <v>32</v>
      </c>
      <c r="C107" s="126"/>
      <c r="D107" s="126">
        <v>13</v>
      </c>
      <c r="E107" s="126">
        <v>-12</v>
      </c>
      <c r="F107" s="126">
        <v>10.1</v>
      </c>
      <c r="G107" s="126">
        <v>2.1</v>
      </c>
      <c r="H107" s="126">
        <v>57.5</v>
      </c>
    </row>
    <row r="149" spans="2:8">
      <c r="B149" t="s">
        <v>627</v>
      </c>
      <c r="C149">
        <v>2021</v>
      </c>
      <c r="D149">
        <v>2022</v>
      </c>
      <c r="E149">
        <v>2023</v>
      </c>
      <c r="F149">
        <v>2024</v>
      </c>
      <c r="G149">
        <v>2025</v>
      </c>
      <c r="H149">
        <v>2026</v>
      </c>
    </row>
    <row r="150" spans="2:8">
      <c r="B150" t="s">
        <v>625</v>
      </c>
      <c r="C150">
        <v>62.2</v>
      </c>
      <c r="D150">
        <v>44.9</v>
      </c>
      <c r="E150">
        <v>66.7</v>
      </c>
      <c r="F150">
        <v>72.099999999999994</v>
      </c>
      <c r="G150">
        <v>76.7</v>
      </c>
      <c r="H150">
        <v>0</v>
      </c>
    </row>
    <row r="151" spans="2:8">
      <c r="B151" t="s">
        <v>32</v>
      </c>
      <c r="C151">
        <v>12.681159420289854</v>
      </c>
      <c r="D151">
        <v>7.0739549839228157</v>
      </c>
      <c r="E151">
        <v>0.15015015015016298</v>
      </c>
      <c r="F151">
        <v>8.0959520239879925</v>
      </c>
      <c r="G151">
        <v>6.3800277392510525</v>
      </c>
    </row>
  </sheetData>
  <mergeCells count="35">
    <mergeCell ref="S11:V11"/>
    <mergeCell ref="B36:B37"/>
    <mergeCell ref="C36:F36"/>
    <mergeCell ref="G36:J36"/>
    <mergeCell ref="K36:N36"/>
    <mergeCell ref="O36:R36"/>
    <mergeCell ref="S36:V36"/>
    <mergeCell ref="B11:B12"/>
    <mergeCell ref="C11:F11"/>
    <mergeCell ref="G11:J11"/>
    <mergeCell ref="K11:N11"/>
    <mergeCell ref="O11:R11"/>
    <mergeCell ref="C84:D84"/>
    <mergeCell ref="G75:G76"/>
    <mergeCell ref="B74:G74"/>
    <mergeCell ref="E40:G40"/>
    <mergeCell ref="E16:G16"/>
    <mergeCell ref="B75:D76"/>
    <mergeCell ref="B77:D77"/>
    <mergeCell ref="B78:D78"/>
    <mergeCell ref="C79:D79"/>
    <mergeCell ref="B80:B83"/>
    <mergeCell ref="C80:C83"/>
    <mergeCell ref="B85:B90"/>
    <mergeCell ref="C85:C90"/>
    <mergeCell ref="B91:D91"/>
    <mergeCell ref="C92:D92"/>
    <mergeCell ref="B93:B96"/>
    <mergeCell ref="C93:C96"/>
    <mergeCell ref="B97:B101"/>
    <mergeCell ref="C98:D98"/>
    <mergeCell ref="C99:D99"/>
    <mergeCell ref="C100:D100"/>
    <mergeCell ref="C101:D101"/>
    <mergeCell ref="C97:D97"/>
  </mergeCells>
  <phoneticPr fontId="2" type="noConversion"/>
  <pageMargins left="0.7" right="0.7" top="0.75" bottom="0.75" header="0.3" footer="0.3"/>
  <pageSetup paperSize="9" orientation="portrait" r:id="rId1"/>
  <ignoredErrors>
    <ignoredError sqref="C5" numberStoredAsText="1"/>
    <ignoredError sqref="D13:F14 G13:S14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0E153-6E7D-4510-90E5-03AE04B5336B}">
  <dimension ref="B2:AA49"/>
  <sheetViews>
    <sheetView topLeftCell="O31" workbookViewId="0">
      <selection activeCell="Z2" sqref="Z2:AB2"/>
    </sheetView>
  </sheetViews>
  <sheetFormatPr defaultRowHeight="16.5"/>
  <cols>
    <col min="4" max="11" width="9" style="150" customWidth="1"/>
    <col min="12" max="12" width="9" customWidth="1"/>
    <col min="13" max="13" width="9.125" style="150" bestFit="1" customWidth="1"/>
    <col min="14" max="16" width="9.125" customWidth="1"/>
    <col min="17" max="25" width="9" customWidth="1"/>
    <col min="26" max="26" width="9.375" bestFit="1" customWidth="1"/>
  </cols>
  <sheetData>
    <row r="2" spans="2:27">
      <c r="B2" s="372" t="s">
        <v>439</v>
      </c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2"/>
      <c r="N2" s="372"/>
      <c r="O2" s="372"/>
      <c r="P2" s="372"/>
      <c r="Q2" s="373"/>
      <c r="R2" s="373"/>
      <c r="S2" s="373"/>
      <c r="T2" s="373"/>
      <c r="U2" s="373"/>
      <c r="V2" s="373"/>
      <c r="W2" s="373"/>
      <c r="X2" s="373"/>
      <c r="Y2" s="373"/>
    </row>
    <row r="3" spans="2:27">
      <c r="B3" s="374" t="s">
        <v>417</v>
      </c>
      <c r="C3" s="374" t="s">
        <v>440</v>
      </c>
      <c r="D3" s="379" t="s">
        <v>441</v>
      </c>
      <c r="E3" s="380"/>
      <c r="F3" s="380"/>
      <c r="G3" s="380"/>
      <c r="H3" s="380"/>
      <c r="I3" s="380"/>
      <c r="J3" s="380"/>
      <c r="K3" s="380"/>
      <c r="L3" s="380"/>
      <c r="M3" s="380"/>
      <c r="N3" s="380"/>
      <c r="O3" s="380"/>
      <c r="P3" s="380"/>
      <c r="Q3" s="381" t="s">
        <v>442</v>
      </c>
      <c r="R3" s="381"/>
      <c r="S3" s="381"/>
      <c r="T3" s="381"/>
      <c r="U3" s="381"/>
      <c r="V3" s="381"/>
      <c r="W3" s="381"/>
      <c r="X3" s="381"/>
      <c r="Y3" s="381"/>
      <c r="Z3" s="381"/>
    </row>
    <row r="4" spans="2:27">
      <c r="B4" s="375"/>
      <c r="C4" s="375"/>
      <c r="D4" s="294" t="s">
        <v>542</v>
      </c>
      <c r="E4" s="294" t="s">
        <v>61</v>
      </c>
      <c r="F4" s="294" t="s">
        <v>22</v>
      </c>
      <c r="G4" s="294" t="s">
        <v>23</v>
      </c>
      <c r="H4" s="294" t="s">
        <v>24</v>
      </c>
      <c r="I4" s="294" t="s">
        <v>25</v>
      </c>
      <c r="J4" s="294" t="s">
        <v>26</v>
      </c>
      <c r="K4" s="294" t="s">
        <v>27</v>
      </c>
      <c r="L4" s="294" t="s">
        <v>28</v>
      </c>
      <c r="M4" s="305" t="s">
        <v>543</v>
      </c>
      <c r="N4" s="294" t="s">
        <v>29</v>
      </c>
      <c r="O4" s="294" t="s">
        <v>30</v>
      </c>
      <c r="P4" s="294" t="s">
        <v>31</v>
      </c>
      <c r="Q4" s="294" t="s">
        <v>230</v>
      </c>
      <c r="R4" s="294" t="s">
        <v>21</v>
      </c>
      <c r="S4" s="294" t="s">
        <v>22</v>
      </c>
      <c r="T4" s="294" t="s">
        <v>23</v>
      </c>
      <c r="U4" s="294" t="s">
        <v>24</v>
      </c>
      <c r="V4" s="294" t="s">
        <v>25</v>
      </c>
      <c r="W4" s="294" t="s">
        <v>26</v>
      </c>
      <c r="X4" s="294" t="s">
        <v>27</v>
      </c>
      <c r="Y4" s="298" t="s">
        <v>28</v>
      </c>
      <c r="Z4" s="307" t="s">
        <v>543</v>
      </c>
    </row>
    <row r="5" spans="2:27">
      <c r="B5" s="376" t="s">
        <v>418</v>
      </c>
      <c r="C5" s="301">
        <v>25636</v>
      </c>
      <c r="D5" s="301">
        <v>2511</v>
      </c>
      <c r="E5" s="301">
        <v>1738</v>
      </c>
      <c r="F5" s="301">
        <v>2105</v>
      </c>
      <c r="G5" s="301">
        <v>1712</v>
      </c>
      <c r="H5" s="301">
        <v>2139</v>
      </c>
      <c r="I5" s="301">
        <v>1529</v>
      </c>
      <c r="J5" s="301">
        <v>1079</v>
      </c>
      <c r="K5" s="301">
        <v>2809</v>
      </c>
      <c r="L5" s="301">
        <v>2372</v>
      </c>
      <c r="M5" s="308">
        <f>SUM(D5:L5)</f>
        <v>17994</v>
      </c>
      <c r="N5" s="308">
        <v>2029</v>
      </c>
      <c r="O5" s="308">
        <v>2518</v>
      </c>
      <c r="P5" s="308">
        <v>3093</v>
      </c>
      <c r="Q5" s="308">
        <v>2479</v>
      </c>
      <c r="R5" s="308">
        <v>1566</v>
      </c>
      <c r="S5" s="308">
        <v>3181</v>
      </c>
      <c r="T5" s="308">
        <v>2009</v>
      </c>
      <c r="U5" s="308">
        <v>2237</v>
      </c>
      <c r="V5" s="308">
        <v>2507</v>
      </c>
      <c r="W5" s="308">
        <v>2241</v>
      </c>
      <c r="X5" s="308">
        <v>3142</v>
      </c>
      <c r="Y5" s="309">
        <v>2891</v>
      </c>
      <c r="Z5" s="155">
        <f>SUM(Q5:Y5)</f>
        <v>22253</v>
      </c>
      <c r="AA5" s="18">
        <f>(Z5-M5)/M5*100</f>
        <v>23.669000778037123</v>
      </c>
    </row>
    <row r="6" spans="2:27">
      <c r="B6" s="377"/>
      <c r="C6" s="295">
        <v>-17.600000000000001</v>
      </c>
      <c r="D6" s="295">
        <v>-76.099999999999994</v>
      </c>
      <c r="E6" s="295">
        <v>-12</v>
      </c>
      <c r="F6" s="295">
        <v>-98.9</v>
      </c>
      <c r="G6" s="295">
        <v>-5.7</v>
      </c>
      <c r="H6" s="295">
        <v>-116.3</v>
      </c>
      <c r="I6" s="295" t="s">
        <v>544</v>
      </c>
      <c r="J6" s="295" t="s">
        <v>545</v>
      </c>
      <c r="K6" s="295">
        <v>-78.3</v>
      </c>
      <c r="L6" s="295">
        <v>-75.2</v>
      </c>
      <c r="M6" s="308"/>
      <c r="N6" s="308" t="s">
        <v>443</v>
      </c>
      <c r="O6" s="308">
        <v>-70.8</v>
      </c>
      <c r="P6" s="308" t="s">
        <v>444</v>
      </c>
      <c r="Q6" s="308" t="s">
        <v>445</v>
      </c>
      <c r="R6" s="308" t="s">
        <v>446</v>
      </c>
      <c r="S6" s="308">
        <v>-51.1</v>
      </c>
      <c r="T6" s="308">
        <v>-17.399999999999999</v>
      </c>
      <c r="U6" s="308">
        <v>-4.5</v>
      </c>
      <c r="V6" s="308">
        <v>-64</v>
      </c>
      <c r="W6" s="308">
        <v>-107.7</v>
      </c>
      <c r="X6" s="308">
        <v>-11.9</v>
      </c>
      <c r="Y6" s="309">
        <v>-21.9</v>
      </c>
      <c r="Z6" s="155"/>
      <c r="AA6" s="18"/>
    </row>
    <row r="7" spans="2:27">
      <c r="B7" s="378"/>
      <c r="C7" s="295">
        <v>3.8</v>
      </c>
      <c r="D7" s="295">
        <v>4.5999999999999996</v>
      </c>
      <c r="E7" s="295">
        <v>3.3</v>
      </c>
      <c r="F7" s="295">
        <v>3.7</v>
      </c>
      <c r="G7" s="295">
        <v>3</v>
      </c>
      <c r="H7" s="295">
        <v>3.7</v>
      </c>
      <c r="I7" s="295">
        <v>2.7</v>
      </c>
      <c r="J7" s="295">
        <v>1.9</v>
      </c>
      <c r="K7" s="295">
        <v>4.9000000000000004</v>
      </c>
      <c r="L7" s="295">
        <v>4.0999999999999996</v>
      </c>
      <c r="M7" s="308"/>
      <c r="N7" s="308">
        <v>3.5</v>
      </c>
      <c r="O7" s="308">
        <v>4.5</v>
      </c>
      <c r="P7" s="308">
        <v>5</v>
      </c>
      <c r="Q7" s="308">
        <v>5</v>
      </c>
      <c r="R7" s="308">
        <v>3</v>
      </c>
      <c r="S7" s="308">
        <v>5.5</v>
      </c>
      <c r="T7" s="308">
        <v>3.5</v>
      </c>
      <c r="U7" s="308">
        <v>3.9</v>
      </c>
      <c r="V7" s="308">
        <v>4.2</v>
      </c>
      <c r="W7" s="308">
        <v>3.7</v>
      </c>
      <c r="X7" s="308">
        <v>5.4</v>
      </c>
      <c r="Y7" s="309">
        <v>4.4000000000000004</v>
      </c>
      <c r="Z7" s="155"/>
      <c r="AA7" s="18"/>
    </row>
    <row r="8" spans="2:27">
      <c r="B8" s="296" t="s">
        <v>419</v>
      </c>
      <c r="C8" s="301">
        <v>17187</v>
      </c>
      <c r="D8" s="301">
        <v>1340</v>
      </c>
      <c r="E8" s="301">
        <v>1033</v>
      </c>
      <c r="F8" s="301">
        <v>1115</v>
      </c>
      <c r="G8" s="301">
        <v>1147</v>
      </c>
      <c r="H8" s="301">
        <v>1247</v>
      </c>
      <c r="I8" s="301">
        <v>1058</v>
      </c>
      <c r="J8" s="301">
        <v>1459</v>
      </c>
      <c r="K8" s="301">
        <v>1810</v>
      </c>
      <c r="L8" s="301">
        <v>1875</v>
      </c>
      <c r="M8" s="308">
        <f>SUM(D8:L8)</f>
        <v>12084</v>
      </c>
      <c r="N8" s="308">
        <v>2049</v>
      </c>
      <c r="O8" s="308">
        <v>1701</v>
      </c>
      <c r="P8" s="308">
        <v>1352</v>
      </c>
      <c r="Q8" s="308">
        <v>1214</v>
      </c>
      <c r="R8" s="308">
        <v>1307</v>
      </c>
      <c r="S8" s="308">
        <v>1246</v>
      </c>
      <c r="T8" s="308">
        <v>1452</v>
      </c>
      <c r="U8" s="308">
        <v>1296</v>
      </c>
      <c r="V8" s="308">
        <v>1018</v>
      </c>
      <c r="W8" s="308">
        <v>1203</v>
      </c>
      <c r="X8" s="308">
        <v>1555</v>
      </c>
      <c r="Y8" s="309">
        <v>1746</v>
      </c>
      <c r="Z8" s="155">
        <f>SUM(Q8:Y8)</f>
        <v>12037</v>
      </c>
      <c r="AA8" s="18">
        <f t="shared" ref="AA8:AA47" si="0">(Z8-M8)/M8*100</f>
        <v>-0.3889440582588547</v>
      </c>
    </row>
    <row r="9" spans="2:27">
      <c r="B9" s="297" t="s">
        <v>420</v>
      </c>
      <c r="C9" s="295">
        <v>-11.1</v>
      </c>
      <c r="D9" s="295" t="s">
        <v>546</v>
      </c>
      <c r="E9" s="295" t="s">
        <v>547</v>
      </c>
      <c r="F9" s="295">
        <v>-5.0999999999999996</v>
      </c>
      <c r="G9" s="295">
        <v>-11.3</v>
      </c>
      <c r="H9" s="295">
        <v>-9.3000000000000007</v>
      </c>
      <c r="I9" s="295">
        <v>-3.8</v>
      </c>
      <c r="J9" s="295">
        <v>-53.3</v>
      </c>
      <c r="K9" s="295">
        <v>-50.1</v>
      </c>
      <c r="L9" s="295">
        <v>-16.5</v>
      </c>
      <c r="M9" s="308"/>
      <c r="N9" s="308">
        <v>-19.7</v>
      </c>
      <c r="O9" s="308" t="s">
        <v>447</v>
      </c>
      <c r="P9" s="308">
        <v>-16</v>
      </c>
      <c r="Q9" s="308" t="s">
        <v>448</v>
      </c>
      <c r="R9" s="308">
        <v>-26.5</v>
      </c>
      <c r="S9" s="308">
        <v>-11.7</v>
      </c>
      <c r="T9" s="308">
        <v>-26.6</v>
      </c>
      <c r="U9" s="308">
        <v>-3.9</v>
      </c>
      <c r="V9" s="308" t="s">
        <v>449</v>
      </c>
      <c r="W9" s="308" t="s">
        <v>450</v>
      </c>
      <c r="X9" s="308" t="s">
        <v>451</v>
      </c>
      <c r="Y9" s="309" t="s">
        <v>452</v>
      </c>
      <c r="Z9" s="155"/>
      <c r="AA9" s="18"/>
    </row>
    <row r="10" spans="2:27">
      <c r="B10" s="297" t="s">
        <v>421</v>
      </c>
      <c r="C10" s="295">
        <v>2.5</v>
      </c>
      <c r="D10" s="295">
        <v>2.4</v>
      </c>
      <c r="E10" s="295">
        <v>2</v>
      </c>
      <c r="F10" s="295">
        <v>2</v>
      </c>
      <c r="G10" s="295">
        <v>2</v>
      </c>
      <c r="H10" s="295">
        <v>2.1</v>
      </c>
      <c r="I10" s="295">
        <v>1.8</v>
      </c>
      <c r="J10" s="295">
        <v>2.5</v>
      </c>
      <c r="K10" s="295">
        <v>3.1</v>
      </c>
      <c r="L10" s="295">
        <v>3.2</v>
      </c>
      <c r="M10" s="308"/>
      <c r="N10" s="308">
        <v>3.6</v>
      </c>
      <c r="O10" s="308">
        <v>3</v>
      </c>
      <c r="P10" s="308">
        <v>2.2000000000000002</v>
      </c>
      <c r="Q10" s="308">
        <v>2.5</v>
      </c>
      <c r="R10" s="308">
        <v>2.5</v>
      </c>
      <c r="S10" s="308">
        <v>2.1</v>
      </c>
      <c r="T10" s="308">
        <v>2.5</v>
      </c>
      <c r="U10" s="308">
        <v>2.2999999999999998</v>
      </c>
      <c r="V10" s="308">
        <v>1.7</v>
      </c>
      <c r="W10" s="308">
        <v>2</v>
      </c>
      <c r="X10" s="308">
        <v>2.7</v>
      </c>
      <c r="Y10" s="309">
        <v>2.6</v>
      </c>
      <c r="Z10" s="155"/>
      <c r="AA10" s="18"/>
    </row>
    <row r="11" spans="2:27">
      <c r="B11" s="296" t="s">
        <v>422</v>
      </c>
      <c r="C11" s="301">
        <v>51173</v>
      </c>
      <c r="D11" s="301">
        <v>4386</v>
      </c>
      <c r="E11" s="301">
        <v>4455</v>
      </c>
      <c r="F11" s="301">
        <v>4295</v>
      </c>
      <c r="G11" s="301">
        <v>4605</v>
      </c>
      <c r="H11" s="301">
        <v>4293</v>
      </c>
      <c r="I11" s="301">
        <v>4098</v>
      </c>
      <c r="J11" s="301">
        <v>5172</v>
      </c>
      <c r="K11" s="301">
        <v>3856</v>
      </c>
      <c r="L11" s="301">
        <v>3804</v>
      </c>
      <c r="M11" s="308">
        <f>SUM(D11:L11)</f>
        <v>38964</v>
      </c>
      <c r="N11" s="308">
        <v>3965</v>
      </c>
      <c r="O11" s="308">
        <v>3981</v>
      </c>
      <c r="P11" s="308">
        <v>4323</v>
      </c>
      <c r="Q11" s="308">
        <v>3417</v>
      </c>
      <c r="R11" s="308">
        <v>3894</v>
      </c>
      <c r="S11" s="308">
        <v>4145</v>
      </c>
      <c r="T11" s="308">
        <v>4312</v>
      </c>
      <c r="U11" s="308">
        <v>4063</v>
      </c>
      <c r="V11" s="308">
        <v>3783</v>
      </c>
      <c r="W11" s="308">
        <v>4264</v>
      </c>
      <c r="X11" s="308">
        <v>3456</v>
      </c>
      <c r="Y11" s="309">
        <v>4198</v>
      </c>
      <c r="Z11" s="155">
        <f>SUM(Q11:Y11)</f>
        <v>35532</v>
      </c>
      <c r="AA11" s="18">
        <f t="shared" si="0"/>
        <v>-8.808130582075762</v>
      </c>
    </row>
    <row r="12" spans="2:27">
      <c r="B12" s="297" t="s">
        <v>423</v>
      </c>
      <c r="C12" s="295" t="s">
        <v>453</v>
      </c>
      <c r="D12" s="295">
        <v>-13.7</v>
      </c>
      <c r="E12" s="295">
        <v>-0.3</v>
      </c>
      <c r="F12" s="295" t="s">
        <v>548</v>
      </c>
      <c r="G12" s="295" t="s">
        <v>485</v>
      </c>
      <c r="H12" s="295" t="s">
        <v>549</v>
      </c>
      <c r="I12" s="295" t="s">
        <v>550</v>
      </c>
      <c r="J12" s="295">
        <v>-17.7</v>
      </c>
      <c r="K12" s="295" t="s">
        <v>551</v>
      </c>
      <c r="L12" s="295" t="s">
        <v>454</v>
      </c>
      <c r="M12" s="308"/>
      <c r="N12" s="308" t="s">
        <v>455</v>
      </c>
      <c r="O12" s="308" t="s">
        <v>456</v>
      </c>
      <c r="P12" s="308" t="s">
        <v>457</v>
      </c>
      <c r="Q12" s="308" t="s">
        <v>458</v>
      </c>
      <c r="R12" s="308" t="s">
        <v>459</v>
      </c>
      <c r="S12" s="308" t="s">
        <v>447</v>
      </c>
      <c r="T12" s="308" t="s">
        <v>460</v>
      </c>
      <c r="U12" s="308" t="s">
        <v>461</v>
      </c>
      <c r="V12" s="308" t="s">
        <v>462</v>
      </c>
      <c r="W12" s="308" t="s">
        <v>463</v>
      </c>
      <c r="X12" s="308" t="s">
        <v>464</v>
      </c>
      <c r="Y12" s="309">
        <v>-10.3</v>
      </c>
      <c r="Z12" s="155"/>
      <c r="AA12" s="18"/>
    </row>
    <row r="13" spans="2:27">
      <c r="B13" s="302"/>
      <c r="C13" s="295">
        <v>7.5</v>
      </c>
      <c r="D13" s="295">
        <v>8</v>
      </c>
      <c r="E13" s="295">
        <v>8.6</v>
      </c>
      <c r="F13" s="295">
        <v>7.6</v>
      </c>
      <c r="G13" s="295">
        <v>8.1999999999999993</v>
      </c>
      <c r="H13" s="295">
        <v>7.4</v>
      </c>
      <c r="I13" s="295">
        <v>7.1</v>
      </c>
      <c r="J13" s="295">
        <v>9</v>
      </c>
      <c r="K13" s="295">
        <v>6.7</v>
      </c>
      <c r="L13" s="295">
        <v>6.5</v>
      </c>
      <c r="M13" s="308"/>
      <c r="N13" s="308">
        <v>6.9</v>
      </c>
      <c r="O13" s="308">
        <v>7.1</v>
      </c>
      <c r="P13" s="308">
        <v>7</v>
      </c>
      <c r="Q13" s="308">
        <v>6.9</v>
      </c>
      <c r="R13" s="308">
        <v>7.4</v>
      </c>
      <c r="S13" s="308">
        <v>7.1</v>
      </c>
      <c r="T13" s="308">
        <v>7.4</v>
      </c>
      <c r="U13" s="308">
        <v>7.1</v>
      </c>
      <c r="V13" s="308">
        <v>6.3</v>
      </c>
      <c r="W13" s="308">
        <v>7</v>
      </c>
      <c r="X13" s="308">
        <v>5.9</v>
      </c>
      <c r="Y13" s="309">
        <v>6.4</v>
      </c>
      <c r="Z13" s="155"/>
      <c r="AA13" s="18"/>
    </row>
    <row r="14" spans="2:27">
      <c r="B14" s="296" t="s">
        <v>424</v>
      </c>
      <c r="C14" s="301">
        <v>47988</v>
      </c>
      <c r="D14" s="301">
        <v>4023</v>
      </c>
      <c r="E14" s="301">
        <v>3959</v>
      </c>
      <c r="F14" s="301">
        <v>4053</v>
      </c>
      <c r="G14" s="301">
        <v>4315</v>
      </c>
      <c r="H14" s="301">
        <v>4096</v>
      </c>
      <c r="I14" s="301">
        <v>3975</v>
      </c>
      <c r="J14" s="301">
        <v>4176</v>
      </c>
      <c r="K14" s="301">
        <v>4156</v>
      </c>
      <c r="L14" s="301">
        <v>3815</v>
      </c>
      <c r="M14" s="308">
        <f>SUM(D14:L14)</f>
        <v>36568</v>
      </c>
      <c r="N14" s="308">
        <v>3986</v>
      </c>
      <c r="O14" s="308">
        <v>3567</v>
      </c>
      <c r="P14" s="308">
        <v>3869</v>
      </c>
      <c r="Q14" s="308">
        <v>3576</v>
      </c>
      <c r="R14" s="308">
        <v>3939</v>
      </c>
      <c r="S14" s="308">
        <v>3657</v>
      </c>
      <c r="T14" s="308">
        <v>3797</v>
      </c>
      <c r="U14" s="308">
        <v>3330</v>
      </c>
      <c r="V14" s="308">
        <v>3430</v>
      </c>
      <c r="W14" s="308">
        <v>3800</v>
      </c>
      <c r="X14" s="308">
        <v>3434</v>
      </c>
      <c r="Y14" s="309">
        <v>3710</v>
      </c>
      <c r="Z14" s="155">
        <f>SUM(Q14:Y14)</f>
        <v>32673</v>
      </c>
      <c r="AA14" s="18">
        <f t="shared" si="0"/>
        <v>-10.65138919273682</v>
      </c>
    </row>
    <row r="15" spans="2:27">
      <c r="B15" s="297" t="s">
        <v>425</v>
      </c>
      <c r="C15" s="295">
        <v>-5</v>
      </c>
      <c r="D15" s="295">
        <v>-4.5999999999999996</v>
      </c>
      <c r="E15" s="295" t="s">
        <v>552</v>
      </c>
      <c r="F15" s="295" t="s">
        <v>553</v>
      </c>
      <c r="G15" s="295">
        <v>-13</v>
      </c>
      <c r="H15" s="295">
        <v>-7.6</v>
      </c>
      <c r="I15" s="295">
        <v>-11.9</v>
      </c>
      <c r="J15" s="295">
        <v>-18.2</v>
      </c>
      <c r="K15" s="295">
        <v>-6.5</v>
      </c>
      <c r="L15" s="295" t="s">
        <v>465</v>
      </c>
      <c r="M15" s="308"/>
      <c r="N15" s="308">
        <v>-10.199999999999999</v>
      </c>
      <c r="O15" s="308" t="s">
        <v>466</v>
      </c>
      <c r="P15" s="308">
        <v>-1.9</v>
      </c>
      <c r="Q15" s="308" t="s">
        <v>467</v>
      </c>
      <c r="R15" s="308" t="s">
        <v>468</v>
      </c>
      <c r="S15" s="308" t="s">
        <v>469</v>
      </c>
      <c r="T15" s="308" t="s">
        <v>470</v>
      </c>
      <c r="U15" s="308" t="s">
        <v>471</v>
      </c>
      <c r="V15" s="308" t="s">
        <v>472</v>
      </c>
      <c r="W15" s="308" t="s">
        <v>473</v>
      </c>
      <c r="X15" s="308" t="s">
        <v>474</v>
      </c>
      <c r="Y15" s="309" t="s">
        <v>475</v>
      </c>
      <c r="Z15" s="155"/>
      <c r="AA15" s="18"/>
    </row>
    <row r="16" spans="2:27">
      <c r="B16" s="302"/>
      <c r="C16" s="295">
        <v>7</v>
      </c>
      <c r="D16" s="295">
        <v>7.3</v>
      </c>
      <c r="E16" s="295">
        <v>7.6</v>
      </c>
      <c r="F16" s="295">
        <v>7.2</v>
      </c>
      <c r="G16" s="295">
        <v>7.7</v>
      </c>
      <c r="H16" s="295">
        <v>7.1</v>
      </c>
      <c r="I16" s="295">
        <v>6.9</v>
      </c>
      <c r="J16" s="295">
        <v>7.3</v>
      </c>
      <c r="K16" s="295">
        <v>7.2</v>
      </c>
      <c r="L16" s="295">
        <v>6.5</v>
      </c>
      <c r="M16" s="308"/>
      <c r="N16" s="308">
        <v>6.9</v>
      </c>
      <c r="O16" s="308">
        <v>6.3</v>
      </c>
      <c r="P16" s="308">
        <v>6.3</v>
      </c>
      <c r="Q16" s="308">
        <v>7.3</v>
      </c>
      <c r="R16" s="308">
        <v>7.5</v>
      </c>
      <c r="S16" s="308">
        <v>6.3</v>
      </c>
      <c r="T16" s="308">
        <v>6.5</v>
      </c>
      <c r="U16" s="308">
        <v>5.8</v>
      </c>
      <c r="V16" s="308">
        <v>5.7</v>
      </c>
      <c r="W16" s="308">
        <v>6.3</v>
      </c>
      <c r="X16" s="308">
        <v>5.9</v>
      </c>
      <c r="Y16" s="309">
        <v>5.6</v>
      </c>
      <c r="Z16" s="155"/>
      <c r="AA16" s="18"/>
    </row>
    <row r="17" spans="2:27">
      <c r="B17" s="296" t="s">
        <v>426</v>
      </c>
      <c r="C17" s="301">
        <v>33282</v>
      </c>
      <c r="D17" s="301">
        <v>2766</v>
      </c>
      <c r="E17" s="301">
        <v>2672</v>
      </c>
      <c r="F17" s="301">
        <v>2883</v>
      </c>
      <c r="G17" s="301">
        <v>2819</v>
      </c>
      <c r="H17" s="301">
        <v>2920</v>
      </c>
      <c r="I17" s="301">
        <v>2560</v>
      </c>
      <c r="J17" s="301">
        <v>2800</v>
      </c>
      <c r="K17" s="301">
        <v>2802</v>
      </c>
      <c r="L17" s="301">
        <v>2744</v>
      </c>
      <c r="M17" s="308">
        <f>SUM(D17:L17)</f>
        <v>24966</v>
      </c>
      <c r="N17" s="308">
        <v>2867</v>
      </c>
      <c r="O17" s="308">
        <v>2680</v>
      </c>
      <c r="P17" s="308">
        <v>2773</v>
      </c>
      <c r="Q17" s="308">
        <v>2626</v>
      </c>
      <c r="R17" s="308">
        <v>2557</v>
      </c>
      <c r="S17" s="308">
        <v>2565</v>
      </c>
      <c r="T17" s="308">
        <v>2960</v>
      </c>
      <c r="U17" s="308">
        <v>2559</v>
      </c>
      <c r="V17" s="308">
        <v>2348</v>
      </c>
      <c r="W17" s="308">
        <v>2716</v>
      </c>
      <c r="X17" s="308">
        <v>2371</v>
      </c>
      <c r="Y17" s="309">
        <v>2628</v>
      </c>
      <c r="Z17" s="155">
        <f>SUM(Q17:Y17)</f>
        <v>23330</v>
      </c>
      <c r="AA17" s="18">
        <f t="shared" si="0"/>
        <v>-6.5529119602659609</v>
      </c>
    </row>
    <row r="18" spans="2:27">
      <c r="B18" s="297" t="s">
        <v>427</v>
      </c>
      <c r="C18" s="295" t="s">
        <v>476</v>
      </c>
      <c r="D18" s="295">
        <v>-2</v>
      </c>
      <c r="E18" s="295" t="s">
        <v>554</v>
      </c>
      <c r="F18" s="295" t="s">
        <v>555</v>
      </c>
      <c r="G18" s="295" t="s">
        <v>500</v>
      </c>
      <c r="H18" s="295" t="s">
        <v>470</v>
      </c>
      <c r="I18" s="295" t="s">
        <v>556</v>
      </c>
      <c r="J18" s="295" t="s">
        <v>557</v>
      </c>
      <c r="K18" s="295" t="s">
        <v>558</v>
      </c>
      <c r="L18" s="295" t="s">
        <v>477</v>
      </c>
      <c r="M18" s="308"/>
      <c r="N18" s="308">
        <v>-8.6</v>
      </c>
      <c r="O18" s="308">
        <v>-1</v>
      </c>
      <c r="P18" s="308">
        <v>-2.9</v>
      </c>
      <c r="Q18" s="308" t="s">
        <v>478</v>
      </c>
      <c r="R18" s="308" t="s">
        <v>479</v>
      </c>
      <c r="S18" s="308" t="s">
        <v>480</v>
      </c>
      <c r="T18" s="308">
        <v>-5</v>
      </c>
      <c r="U18" s="308" t="s">
        <v>481</v>
      </c>
      <c r="V18" s="308" t="s">
        <v>482</v>
      </c>
      <c r="W18" s="308" t="s">
        <v>483</v>
      </c>
      <c r="X18" s="308" t="s">
        <v>484</v>
      </c>
      <c r="Y18" s="309" t="s">
        <v>453</v>
      </c>
      <c r="Z18" s="155"/>
      <c r="AA18" s="18"/>
    </row>
    <row r="19" spans="2:27">
      <c r="B19" s="302"/>
      <c r="C19" s="295">
        <v>4.9000000000000004</v>
      </c>
      <c r="D19" s="295">
        <v>5.0999999999999996</v>
      </c>
      <c r="E19" s="295">
        <v>5.0999999999999996</v>
      </c>
      <c r="F19" s="295">
        <v>5.0999999999999996</v>
      </c>
      <c r="G19" s="295">
        <v>5</v>
      </c>
      <c r="H19" s="295">
        <v>5</v>
      </c>
      <c r="I19" s="295">
        <v>4.5</v>
      </c>
      <c r="J19" s="295">
        <v>4.9000000000000004</v>
      </c>
      <c r="K19" s="295">
        <v>4.9000000000000004</v>
      </c>
      <c r="L19" s="295">
        <v>4.7</v>
      </c>
      <c r="M19" s="308"/>
      <c r="N19" s="308">
        <v>5</v>
      </c>
      <c r="O19" s="308">
        <v>4.8</v>
      </c>
      <c r="P19" s="308">
        <v>4.5</v>
      </c>
      <c r="Q19" s="308">
        <v>5.3</v>
      </c>
      <c r="R19" s="308">
        <v>4.9000000000000004</v>
      </c>
      <c r="S19" s="308">
        <v>4.4000000000000004</v>
      </c>
      <c r="T19" s="308">
        <v>5.0999999999999996</v>
      </c>
      <c r="U19" s="308">
        <v>4.5</v>
      </c>
      <c r="V19" s="308">
        <v>3.9</v>
      </c>
      <c r="W19" s="308">
        <v>4.5</v>
      </c>
      <c r="X19" s="308">
        <v>4.0999999999999996</v>
      </c>
      <c r="Y19" s="309">
        <v>4</v>
      </c>
      <c r="Z19" s="155"/>
      <c r="AA19" s="18"/>
    </row>
    <row r="20" spans="2:27">
      <c r="B20" s="376" t="s">
        <v>428</v>
      </c>
      <c r="C20" s="301">
        <v>141920</v>
      </c>
      <c r="D20" s="301">
        <v>9374</v>
      </c>
      <c r="E20" s="301">
        <v>9943</v>
      </c>
      <c r="F20" s="301">
        <v>11670</v>
      </c>
      <c r="G20" s="301">
        <v>9955</v>
      </c>
      <c r="H20" s="301">
        <v>11378</v>
      </c>
      <c r="I20" s="301">
        <v>13420</v>
      </c>
      <c r="J20" s="301">
        <v>11180</v>
      </c>
      <c r="K20" s="301">
        <v>11878</v>
      </c>
      <c r="L20" s="301">
        <v>13620</v>
      </c>
      <c r="M20" s="308">
        <f>SUM(D20:L20)</f>
        <v>102418</v>
      </c>
      <c r="N20" s="308">
        <v>12544</v>
      </c>
      <c r="O20" s="308">
        <v>12453</v>
      </c>
      <c r="P20" s="308">
        <v>14504</v>
      </c>
      <c r="Q20" s="308">
        <v>10131</v>
      </c>
      <c r="R20" s="308">
        <v>9648</v>
      </c>
      <c r="S20" s="308">
        <v>13057</v>
      </c>
      <c r="T20" s="308">
        <v>11666</v>
      </c>
      <c r="U20" s="308">
        <v>13794</v>
      </c>
      <c r="V20" s="308">
        <v>14961</v>
      </c>
      <c r="W20" s="308">
        <v>14712</v>
      </c>
      <c r="X20" s="308">
        <v>15097</v>
      </c>
      <c r="Y20" s="309">
        <v>16611</v>
      </c>
      <c r="Z20" s="155">
        <f>SUM(Q20:Y20)</f>
        <v>119677</v>
      </c>
      <c r="AA20" s="18">
        <f t="shared" si="0"/>
        <v>16.851530004491398</v>
      </c>
    </row>
    <row r="21" spans="2:27">
      <c r="B21" s="377"/>
      <c r="C21" s="295">
        <v>-43.9</v>
      </c>
      <c r="D21" s="295">
        <v>-56.2</v>
      </c>
      <c r="E21" s="295">
        <v>-66.7</v>
      </c>
      <c r="F21" s="295">
        <v>-35.700000000000003</v>
      </c>
      <c r="G21" s="295">
        <v>-56.1</v>
      </c>
      <c r="H21" s="295">
        <v>-54.4</v>
      </c>
      <c r="I21" s="295">
        <v>-50.9</v>
      </c>
      <c r="J21" s="295">
        <v>-50.2</v>
      </c>
      <c r="K21" s="295">
        <v>-38.799999999999997</v>
      </c>
      <c r="L21" s="295">
        <v>-37.1</v>
      </c>
      <c r="M21" s="308"/>
      <c r="N21" s="308">
        <v>-40.299999999999997</v>
      </c>
      <c r="O21" s="308">
        <v>-30.8</v>
      </c>
      <c r="P21" s="308">
        <v>-31.5</v>
      </c>
      <c r="Q21" s="308">
        <v>-8.1</v>
      </c>
      <c r="R21" s="308" t="s">
        <v>483</v>
      </c>
      <c r="S21" s="308">
        <v>-11.9</v>
      </c>
      <c r="T21" s="308">
        <v>-17.2</v>
      </c>
      <c r="U21" s="308">
        <v>-21.2</v>
      </c>
      <c r="V21" s="308">
        <v>-11.5</v>
      </c>
      <c r="W21" s="308">
        <v>-31.6</v>
      </c>
      <c r="X21" s="308">
        <v>-27.1</v>
      </c>
      <c r="Y21" s="309">
        <v>-22</v>
      </c>
      <c r="Z21" s="155"/>
      <c r="AA21" s="18"/>
    </row>
    <row r="22" spans="2:27">
      <c r="B22" s="378"/>
      <c r="C22" s="295">
        <v>20.8</v>
      </c>
      <c r="D22" s="295">
        <v>17.100000000000001</v>
      </c>
      <c r="E22" s="295">
        <v>19.100000000000001</v>
      </c>
      <c r="F22" s="295">
        <v>20.6</v>
      </c>
      <c r="G22" s="295">
        <v>17.7</v>
      </c>
      <c r="H22" s="295">
        <v>19.600000000000001</v>
      </c>
      <c r="I22" s="295">
        <v>23.4</v>
      </c>
      <c r="J22" s="295">
        <v>19.5</v>
      </c>
      <c r="K22" s="295">
        <v>20.6</v>
      </c>
      <c r="L22" s="295">
        <v>23.3</v>
      </c>
      <c r="M22" s="308"/>
      <c r="N22" s="308">
        <v>21.8</v>
      </c>
      <c r="O22" s="308">
        <v>22.1</v>
      </c>
      <c r="P22" s="308">
        <v>23.6</v>
      </c>
      <c r="Q22" s="308">
        <v>20.6</v>
      </c>
      <c r="R22" s="308">
        <v>18.399999999999999</v>
      </c>
      <c r="S22" s="308">
        <v>22.5</v>
      </c>
      <c r="T22" s="308">
        <v>20.100000000000001</v>
      </c>
      <c r="U22" s="308">
        <v>24.1</v>
      </c>
      <c r="V22" s="308">
        <v>25</v>
      </c>
      <c r="W22" s="308">
        <v>24.2</v>
      </c>
      <c r="X22" s="308">
        <v>25.9</v>
      </c>
      <c r="Y22" s="309">
        <v>25.2</v>
      </c>
      <c r="Z22" s="155"/>
      <c r="AA22" s="18"/>
    </row>
    <row r="23" spans="2:27">
      <c r="B23" s="376" t="s">
        <v>429</v>
      </c>
      <c r="C23" s="301">
        <v>70782</v>
      </c>
      <c r="D23" s="301">
        <v>6210</v>
      </c>
      <c r="E23" s="301">
        <v>5152</v>
      </c>
      <c r="F23" s="301">
        <v>6169</v>
      </c>
      <c r="G23" s="301">
        <v>6783</v>
      </c>
      <c r="H23" s="301">
        <v>6487</v>
      </c>
      <c r="I23" s="301">
        <v>6200</v>
      </c>
      <c r="J23" s="301">
        <v>5360</v>
      </c>
      <c r="K23" s="301">
        <v>5058</v>
      </c>
      <c r="L23" s="301">
        <v>5482</v>
      </c>
      <c r="M23" s="308">
        <f>SUM(D23:L23)</f>
        <v>52901</v>
      </c>
      <c r="N23" s="308">
        <v>6199</v>
      </c>
      <c r="O23" s="308">
        <v>5639</v>
      </c>
      <c r="P23" s="308">
        <v>6044</v>
      </c>
      <c r="Q23" s="308">
        <v>4992</v>
      </c>
      <c r="R23" s="308">
        <v>6065</v>
      </c>
      <c r="S23" s="308">
        <v>6232</v>
      </c>
      <c r="T23" s="308">
        <v>6527</v>
      </c>
      <c r="U23" s="308">
        <v>6198</v>
      </c>
      <c r="V23" s="308">
        <v>6341</v>
      </c>
      <c r="W23" s="308">
        <v>5831</v>
      </c>
      <c r="X23" s="308">
        <v>5491</v>
      </c>
      <c r="Y23" s="309">
        <v>6405</v>
      </c>
      <c r="Z23" s="155">
        <f>SUM(Q23:Y23)</f>
        <v>54082</v>
      </c>
      <c r="AA23" s="18">
        <f t="shared" si="0"/>
        <v>2.232471975955086</v>
      </c>
    </row>
    <row r="24" spans="2:27">
      <c r="B24" s="377"/>
      <c r="C24" s="295" t="s">
        <v>485</v>
      </c>
      <c r="D24" s="295">
        <v>-24.7</v>
      </c>
      <c r="E24" s="295" t="s">
        <v>555</v>
      </c>
      <c r="F24" s="295" t="s">
        <v>478</v>
      </c>
      <c r="G24" s="295">
        <v>-10.199999999999999</v>
      </c>
      <c r="H24" s="295">
        <v>-4.7</v>
      </c>
      <c r="I24" s="295" t="s">
        <v>559</v>
      </c>
      <c r="J24" s="295" t="s">
        <v>508</v>
      </c>
      <c r="K24" s="295" t="s">
        <v>511</v>
      </c>
      <c r="L24" s="295">
        <v>-4.9000000000000004</v>
      </c>
      <c r="M24" s="308"/>
      <c r="N24" s="308">
        <v>-5.4</v>
      </c>
      <c r="O24" s="308" t="s">
        <v>486</v>
      </c>
      <c r="P24" s="308" t="s">
        <v>461</v>
      </c>
      <c r="Q24" s="308" t="s">
        <v>487</v>
      </c>
      <c r="R24" s="308">
        <v>-17.7</v>
      </c>
      <c r="S24" s="308">
        <v>-1</v>
      </c>
      <c r="T24" s="308" t="s">
        <v>488</v>
      </c>
      <c r="U24" s="308" t="s">
        <v>489</v>
      </c>
      <c r="V24" s="308">
        <v>-2.2999999999999998</v>
      </c>
      <c r="W24" s="308">
        <v>-8.8000000000000007</v>
      </c>
      <c r="X24" s="308">
        <v>-8.6</v>
      </c>
      <c r="Y24" s="309">
        <v>-16.8</v>
      </c>
      <c r="Z24" s="155"/>
      <c r="AA24" s="18"/>
    </row>
    <row r="25" spans="2:27">
      <c r="B25" s="378"/>
      <c r="C25" s="295">
        <v>10.4</v>
      </c>
      <c r="D25" s="295">
        <v>11.3</v>
      </c>
      <c r="E25" s="295">
        <v>9.9</v>
      </c>
      <c r="F25" s="295">
        <v>10.9</v>
      </c>
      <c r="G25" s="295">
        <v>12.1</v>
      </c>
      <c r="H25" s="295">
        <v>11.2</v>
      </c>
      <c r="I25" s="295">
        <v>10.8</v>
      </c>
      <c r="J25" s="295">
        <v>9.3000000000000007</v>
      </c>
      <c r="K25" s="295">
        <v>8.8000000000000007</v>
      </c>
      <c r="L25" s="295">
        <v>9.4</v>
      </c>
      <c r="M25" s="308"/>
      <c r="N25" s="308">
        <v>10.8</v>
      </c>
      <c r="O25" s="308">
        <v>10</v>
      </c>
      <c r="P25" s="308">
        <v>9.8000000000000007</v>
      </c>
      <c r="Q25" s="308">
        <v>10.1</v>
      </c>
      <c r="R25" s="308">
        <v>11.6</v>
      </c>
      <c r="S25" s="308">
        <v>10.7</v>
      </c>
      <c r="T25" s="308">
        <v>11.2</v>
      </c>
      <c r="U25" s="308">
        <v>10.8</v>
      </c>
      <c r="V25" s="308">
        <v>10.6</v>
      </c>
      <c r="W25" s="308">
        <v>9.6</v>
      </c>
      <c r="X25" s="308">
        <v>9.4</v>
      </c>
      <c r="Y25" s="309">
        <v>9.6999999999999993</v>
      </c>
      <c r="Z25" s="155"/>
      <c r="AA25" s="18"/>
    </row>
    <row r="26" spans="2:27">
      <c r="B26" s="296" t="s">
        <v>424</v>
      </c>
      <c r="C26" s="301">
        <v>50326</v>
      </c>
      <c r="D26" s="301">
        <v>4798</v>
      </c>
      <c r="E26" s="301">
        <v>4431</v>
      </c>
      <c r="F26" s="301">
        <v>4654</v>
      </c>
      <c r="G26" s="301">
        <v>4339</v>
      </c>
      <c r="H26" s="301">
        <v>4524</v>
      </c>
      <c r="I26" s="301">
        <v>3695</v>
      </c>
      <c r="J26" s="301">
        <v>4490</v>
      </c>
      <c r="K26" s="301">
        <v>4377</v>
      </c>
      <c r="L26" s="301">
        <v>4006</v>
      </c>
      <c r="M26" s="308">
        <f>SUM(D26:L26)</f>
        <v>39314</v>
      </c>
      <c r="N26" s="308">
        <v>3395</v>
      </c>
      <c r="O26" s="308">
        <v>3655</v>
      </c>
      <c r="P26" s="308">
        <v>3962</v>
      </c>
      <c r="Q26" s="308">
        <v>3446</v>
      </c>
      <c r="R26" s="308">
        <v>3876</v>
      </c>
      <c r="S26" s="308">
        <v>3294</v>
      </c>
      <c r="T26" s="308">
        <v>3652</v>
      </c>
      <c r="U26" s="308">
        <v>3579</v>
      </c>
      <c r="V26" s="308">
        <v>3726</v>
      </c>
      <c r="W26" s="308">
        <v>4230</v>
      </c>
      <c r="X26" s="308">
        <v>4154</v>
      </c>
      <c r="Y26" s="309">
        <v>4154</v>
      </c>
      <c r="Z26" s="155">
        <f>SUM(Q26:Y26)</f>
        <v>34111</v>
      </c>
      <c r="AA26" s="18">
        <f t="shared" si="0"/>
        <v>-13.234471180749861</v>
      </c>
    </row>
    <row r="27" spans="2:27">
      <c r="B27" s="297" t="s">
        <v>427</v>
      </c>
      <c r="C27" s="295" t="s">
        <v>490</v>
      </c>
      <c r="D27" s="295">
        <v>-13.7</v>
      </c>
      <c r="E27" s="295" t="s">
        <v>488</v>
      </c>
      <c r="F27" s="295">
        <v>-3.7</v>
      </c>
      <c r="G27" s="295">
        <v>-18.2</v>
      </c>
      <c r="H27" s="295">
        <v>-6.5</v>
      </c>
      <c r="I27" s="295">
        <v>-10.5</v>
      </c>
      <c r="J27" s="295">
        <v>-15.6</v>
      </c>
      <c r="K27" s="295" t="s">
        <v>558</v>
      </c>
      <c r="L27" s="295" t="s">
        <v>491</v>
      </c>
      <c r="M27" s="308"/>
      <c r="N27" s="308" t="s">
        <v>492</v>
      </c>
      <c r="O27" s="308" t="s">
        <v>493</v>
      </c>
      <c r="P27" s="308" t="s">
        <v>494</v>
      </c>
      <c r="Q27" s="308" t="s">
        <v>495</v>
      </c>
      <c r="R27" s="308" t="s">
        <v>496</v>
      </c>
      <c r="S27" s="308" t="s">
        <v>497</v>
      </c>
      <c r="T27" s="308" t="s">
        <v>498</v>
      </c>
      <c r="U27" s="308" t="s">
        <v>499</v>
      </c>
      <c r="V27" s="308">
        <v>-0.8</v>
      </c>
      <c r="W27" s="308" t="s">
        <v>500</v>
      </c>
      <c r="X27" s="308" t="s">
        <v>501</v>
      </c>
      <c r="Y27" s="309">
        <v>-3.7</v>
      </c>
      <c r="Z27" s="155"/>
      <c r="AA27" s="18"/>
    </row>
    <row r="28" spans="2:27">
      <c r="B28" s="302"/>
      <c r="C28" s="295">
        <v>7.4</v>
      </c>
      <c r="D28" s="295">
        <v>8.8000000000000007</v>
      </c>
      <c r="E28" s="295">
        <v>8.5</v>
      </c>
      <c r="F28" s="295">
        <v>8.1999999999999993</v>
      </c>
      <c r="G28" s="295">
        <v>7.7</v>
      </c>
      <c r="H28" s="295">
        <v>7.8</v>
      </c>
      <c r="I28" s="295">
        <v>6.4</v>
      </c>
      <c r="J28" s="295">
        <v>7.8</v>
      </c>
      <c r="K28" s="295">
        <v>7.6</v>
      </c>
      <c r="L28" s="295">
        <v>6.8</v>
      </c>
      <c r="M28" s="308"/>
      <c r="N28" s="308">
        <v>5.9</v>
      </c>
      <c r="O28" s="308">
        <v>6.5</v>
      </c>
      <c r="P28" s="308">
        <v>6.5</v>
      </c>
      <c r="Q28" s="308">
        <v>7</v>
      </c>
      <c r="R28" s="308">
        <v>7.4</v>
      </c>
      <c r="S28" s="308">
        <v>5.7</v>
      </c>
      <c r="T28" s="308">
        <v>6.3</v>
      </c>
      <c r="U28" s="308">
        <v>6.3</v>
      </c>
      <c r="V28" s="308">
        <v>6.2</v>
      </c>
      <c r="W28" s="308">
        <v>7</v>
      </c>
      <c r="X28" s="308">
        <v>7.1</v>
      </c>
      <c r="Y28" s="309">
        <v>6.3</v>
      </c>
      <c r="Z28" s="155"/>
      <c r="AA28" s="18"/>
    </row>
    <row r="29" spans="2:27">
      <c r="B29" s="296" t="s">
        <v>430</v>
      </c>
      <c r="C29" s="301">
        <v>18747</v>
      </c>
      <c r="D29" s="301">
        <v>1302</v>
      </c>
      <c r="E29" s="301">
        <v>1345</v>
      </c>
      <c r="F29" s="301">
        <v>1420</v>
      </c>
      <c r="G29" s="301">
        <v>1430</v>
      </c>
      <c r="H29" s="301">
        <v>1634</v>
      </c>
      <c r="I29" s="301">
        <v>1760</v>
      </c>
      <c r="J29" s="301">
        <v>1728</v>
      </c>
      <c r="K29" s="301">
        <v>1816</v>
      </c>
      <c r="L29" s="301">
        <v>1731</v>
      </c>
      <c r="M29" s="308">
        <f>SUM(D29:L29)</f>
        <v>14166</v>
      </c>
      <c r="N29" s="308">
        <v>1617</v>
      </c>
      <c r="O29" s="308">
        <v>1486</v>
      </c>
      <c r="P29" s="308">
        <v>1477</v>
      </c>
      <c r="Q29" s="308">
        <v>1093</v>
      </c>
      <c r="R29" s="308">
        <v>1267</v>
      </c>
      <c r="S29" s="308">
        <v>1461</v>
      </c>
      <c r="T29" s="308">
        <v>1321</v>
      </c>
      <c r="U29" s="308">
        <v>1341</v>
      </c>
      <c r="V29" s="308">
        <v>1125</v>
      </c>
      <c r="W29" s="308">
        <v>1572</v>
      </c>
      <c r="X29" s="308">
        <v>1649</v>
      </c>
      <c r="Y29" s="309">
        <v>1747</v>
      </c>
      <c r="Z29" s="155">
        <f>SUM(Q29:Y29)</f>
        <v>12576</v>
      </c>
      <c r="AA29" s="18">
        <f t="shared" si="0"/>
        <v>-11.224057602710715</v>
      </c>
    </row>
    <row r="30" spans="2:27">
      <c r="B30" s="297" t="s">
        <v>431</v>
      </c>
      <c r="C30" s="295">
        <v>-0.9</v>
      </c>
      <c r="D30" s="295">
        <v>-2.1</v>
      </c>
      <c r="E30" s="295">
        <v>-20.2</v>
      </c>
      <c r="F30" s="295">
        <v>-16.100000000000001</v>
      </c>
      <c r="G30" s="295">
        <v>-16.3</v>
      </c>
      <c r="H30" s="295">
        <v>-15.8</v>
      </c>
      <c r="I30" s="295">
        <v>-26</v>
      </c>
      <c r="J30" s="295">
        <v>-2.4</v>
      </c>
      <c r="K30" s="295" t="s">
        <v>560</v>
      </c>
      <c r="L30" s="295" t="s">
        <v>479</v>
      </c>
      <c r="M30" s="308"/>
      <c r="N30" s="308" t="s">
        <v>502</v>
      </c>
      <c r="O30" s="308" t="s">
        <v>503</v>
      </c>
      <c r="P30" s="308" t="s">
        <v>504</v>
      </c>
      <c r="Q30" s="308" t="s">
        <v>505</v>
      </c>
      <c r="R30" s="308" t="s">
        <v>500</v>
      </c>
      <c r="S30" s="308">
        <v>-2.9</v>
      </c>
      <c r="T30" s="308" t="s">
        <v>462</v>
      </c>
      <c r="U30" s="308" t="s">
        <v>506</v>
      </c>
      <c r="V30" s="308" t="s">
        <v>507</v>
      </c>
      <c r="W30" s="308" t="s">
        <v>473</v>
      </c>
      <c r="X30" s="308" t="s">
        <v>508</v>
      </c>
      <c r="Y30" s="309">
        <v>-0.9</v>
      </c>
      <c r="Z30" s="155"/>
      <c r="AA30" s="18"/>
    </row>
    <row r="31" spans="2:27">
      <c r="B31" s="302"/>
      <c r="C31" s="295">
        <v>2.7</v>
      </c>
      <c r="D31" s="295">
        <v>2.4</v>
      </c>
      <c r="E31" s="295">
        <v>2.6</v>
      </c>
      <c r="F31" s="295">
        <v>2.5</v>
      </c>
      <c r="G31" s="295">
        <v>2.5</v>
      </c>
      <c r="H31" s="295">
        <v>2.8</v>
      </c>
      <c r="I31" s="295">
        <v>3.1</v>
      </c>
      <c r="J31" s="295">
        <v>3</v>
      </c>
      <c r="K31" s="295">
        <v>3.2</v>
      </c>
      <c r="L31" s="295">
        <v>3</v>
      </c>
      <c r="M31" s="308"/>
      <c r="N31" s="308">
        <v>2.8</v>
      </c>
      <c r="O31" s="308">
        <v>2.6</v>
      </c>
      <c r="P31" s="308">
        <v>2.4</v>
      </c>
      <c r="Q31" s="308">
        <v>2.2000000000000002</v>
      </c>
      <c r="R31" s="308">
        <v>2.4</v>
      </c>
      <c r="S31" s="308">
        <v>2.5</v>
      </c>
      <c r="T31" s="308">
        <v>2.2999999999999998</v>
      </c>
      <c r="U31" s="308">
        <v>2.2999999999999998</v>
      </c>
      <c r="V31" s="308">
        <v>1.9</v>
      </c>
      <c r="W31" s="308">
        <v>2.6</v>
      </c>
      <c r="X31" s="308">
        <v>2.8</v>
      </c>
      <c r="Y31" s="309">
        <v>2.6</v>
      </c>
      <c r="Z31" s="155"/>
      <c r="AA31" s="18"/>
    </row>
    <row r="32" spans="2:27">
      <c r="B32" s="369" t="s">
        <v>432</v>
      </c>
      <c r="C32" s="301">
        <v>10463</v>
      </c>
      <c r="D32" s="295">
        <v>864</v>
      </c>
      <c r="E32" s="295">
        <v>817</v>
      </c>
      <c r="F32" s="295">
        <v>869</v>
      </c>
      <c r="G32" s="295">
        <v>943</v>
      </c>
      <c r="H32" s="295">
        <v>960</v>
      </c>
      <c r="I32" s="295">
        <v>876</v>
      </c>
      <c r="J32" s="295">
        <v>876</v>
      </c>
      <c r="K32" s="295">
        <v>787</v>
      </c>
      <c r="L32" s="295">
        <v>808</v>
      </c>
      <c r="M32" s="308">
        <f>SUM(D32:L32)</f>
        <v>7800</v>
      </c>
      <c r="N32" s="308">
        <v>855</v>
      </c>
      <c r="O32" s="308">
        <v>916</v>
      </c>
      <c r="P32" s="308">
        <v>891</v>
      </c>
      <c r="Q32" s="308">
        <v>725</v>
      </c>
      <c r="R32" s="308">
        <v>803</v>
      </c>
      <c r="S32" s="308">
        <v>817</v>
      </c>
      <c r="T32" s="308">
        <v>911</v>
      </c>
      <c r="U32" s="308">
        <v>845</v>
      </c>
      <c r="V32" s="308">
        <v>791</v>
      </c>
      <c r="W32" s="308">
        <v>828</v>
      </c>
      <c r="X32" s="308">
        <v>688</v>
      </c>
      <c r="Y32" s="309">
        <v>866</v>
      </c>
      <c r="Z32" s="155">
        <f>SUM(Q32:Y32)</f>
        <v>7274</v>
      </c>
      <c r="AA32" s="18">
        <f t="shared" si="0"/>
        <v>-6.7435897435897436</v>
      </c>
    </row>
    <row r="33" spans="2:27">
      <c r="B33" s="370"/>
      <c r="C33" s="295" t="s">
        <v>509</v>
      </c>
      <c r="D33" s="295">
        <v>-7.9</v>
      </c>
      <c r="E33" s="295" t="s">
        <v>470</v>
      </c>
      <c r="F33" s="295" t="s">
        <v>561</v>
      </c>
      <c r="G33" s="295">
        <v>-1</v>
      </c>
      <c r="H33" s="295">
        <v>-1.4</v>
      </c>
      <c r="I33" s="295" t="s">
        <v>562</v>
      </c>
      <c r="J33" s="295">
        <v>-1.2</v>
      </c>
      <c r="K33" s="295" t="s">
        <v>478</v>
      </c>
      <c r="L33" s="295" t="s">
        <v>510</v>
      </c>
      <c r="M33" s="308"/>
      <c r="N33" s="308">
        <v>-2</v>
      </c>
      <c r="O33" s="308" t="s">
        <v>509</v>
      </c>
      <c r="P33" s="308" t="s">
        <v>511</v>
      </c>
      <c r="Q33" s="308" t="s">
        <v>512</v>
      </c>
      <c r="R33" s="308" t="s">
        <v>513</v>
      </c>
      <c r="S33" s="308" t="s">
        <v>514</v>
      </c>
      <c r="T33" s="308" t="s">
        <v>447</v>
      </c>
      <c r="U33" s="308" t="s">
        <v>515</v>
      </c>
      <c r="V33" s="308" t="s">
        <v>469</v>
      </c>
      <c r="W33" s="308" t="s">
        <v>516</v>
      </c>
      <c r="X33" s="308" t="s">
        <v>517</v>
      </c>
      <c r="Y33" s="309">
        <v>-7.1</v>
      </c>
      <c r="Z33" s="155"/>
      <c r="AA33" s="18"/>
    </row>
    <row r="34" spans="2:27">
      <c r="B34" s="371"/>
      <c r="C34" s="295">
        <v>1.5</v>
      </c>
      <c r="D34" s="295">
        <v>1.6</v>
      </c>
      <c r="E34" s="295">
        <v>1.6</v>
      </c>
      <c r="F34" s="295">
        <v>1.5</v>
      </c>
      <c r="G34" s="295">
        <v>1.7</v>
      </c>
      <c r="H34" s="295">
        <v>1.7</v>
      </c>
      <c r="I34" s="295">
        <v>1.5</v>
      </c>
      <c r="J34" s="295">
        <v>1.5</v>
      </c>
      <c r="K34" s="295">
        <v>1.4</v>
      </c>
      <c r="L34" s="295">
        <v>1.4</v>
      </c>
      <c r="M34" s="308"/>
      <c r="N34" s="308">
        <v>1.5</v>
      </c>
      <c r="O34" s="308">
        <v>1.6</v>
      </c>
      <c r="P34" s="308">
        <v>1.5</v>
      </c>
      <c r="Q34" s="308">
        <v>1.5</v>
      </c>
      <c r="R34" s="308">
        <v>1.5</v>
      </c>
      <c r="S34" s="308">
        <v>1.4</v>
      </c>
      <c r="T34" s="308">
        <v>1.6</v>
      </c>
      <c r="U34" s="308">
        <v>1.5</v>
      </c>
      <c r="V34" s="308">
        <v>1.3</v>
      </c>
      <c r="W34" s="308">
        <v>1.4</v>
      </c>
      <c r="X34" s="308">
        <v>1.2</v>
      </c>
      <c r="Y34" s="309">
        <v>1.3</v>
      </c>
      <c r="Z34" s="155"/>
      <c r="AA34" s="18"/>
    </row>
    <row r="35" spans="2:27">
      <c r="B35" s="369" t="s">
        <v>433</v>
      </c>
      <c r="C35" s="301">
        <v>7974</v>
      </c>
      <c r="D35" s="295">
        <v>673</v>
      </c>
      <c r="E35" s="295">
        <v>662</v>
      </c>
      <c r="F35" s="295">
        <v>692</v>
      </c>
      <c r="G35" s="295">
        <v>740</v>
      </c>
      <c r="H35" s="295">
        <v>719</v>
      </c>
      <c r="I35" s="295">
        <v>656</v>
      </c>
      <c r="J35" s="295">
        <v>724</v>
      </c>
      <c r="K35" s="295">
        <v>616</v>
      </c>
      <c r="L35" s="295">
        <v>613</v>
      </c>
      <c r="M35" s="308">
        <f>SUM(D35:L35)</f>
        <v>6095</v>
      </c>
      <c r="N35" s="308">
        <v>690</v>
      </c>
      <c r="O35" s="308">
        <v>574</v>
      </c>
      <c r="P35" s="308">
        <v>613</v>
      </c>
      <c r="Q35" s="308">
        <v>557</v>
      </c>
      <c r="R35" s="308">
        <v>634</v>
      </c>
      <c r="S35" s="308">
        <v>639</v>
      </c>
      <c r="T35" s="308">
        <v>705</v>
      </c>
      <c r="U35" s="308">
        <v>612</v>
      </c>
      <c r="V35" s="308">
        <v>554</v>
      </c>
      <c r="W35" s="308">
        <v>637</v>
      </c>
      <c r="X35" s="308">
        <v>544</v>
      </c>
      <c r="Y35" s="309">
        <v>688</v>
      </c>
      <c r="Z35" s="155">
        <f>SUM(Q35:Y35)</f>
        <v>5570</v>
      </c>
      <c r="AA35" s="18">
        <f t="shared" si="0"/>
        <v>-8.6136177194421659</v>
      </c>
    </row>
    <row r="36" spans="2:27">
      <c r="B36" s="370"/>
      <c r="C36" s="295">
        <v>-0.4</v>
      </c>
      <c r="D36" s="295">
        <v>-14.1</v>
      </c>
      <c r="E36" s="295" t="s">
        <v>489</v>
      </c>
      <c r="F36" s="295" t="s">
        <v>563</v>
      </c>
      <c r="G36" s="295">
        <v>-9.3000000000000007</v>
      </c>
      <c r="H36" s="295">
        <v>-6.9</v>
      </c>
      <c r="I36" s="295" t="s">
        <v>564</v>
      </c>
      <c r="J36" s="295">
        <v>-9</v>
      </c>
      <c r="K36" s="295" t="s">
        <v>478</v>
      </c>
      <c r="L36" s="295" t="s">
        <v>451</v>
      </c>
      <c r="M36" s="308"/>
      <c r="N36" s="308">
        <v>-5</v>
      </c>
      <c r="O36" s="308" t="s">
        <v>518</v>
      </c>
      <c r="P36" s="308">
        <v>-3.7</v>
      </c>
      <c r="Q36" s="308" t="s">
        <v>519</v>
      </c>
      <c r="R36" s="308" t="s">
        <v>453</v>
      </c>
      <c r="S36" s="308" t="s">
        <v>520</v>
      </c>
      <c r="T36" s="308" t="s">
        <v>521</v>
      </c>
      <c r="U36" s="308" t="s">
        <v>522</v>
      </c>
      <c r="V36" s="308" t="s">
        <v>444</v>
      </c>
      <c r="W36" s="308" t="s">
        <v>523</v>
      </c>
      <c r="X36" s="308" t="s">
        <v>524</v>
      </c>
      <c r="Y36" s="309">
        <v>-12.3</v>
      </c>
      <c r="Z36" s="155"/>
      <c r="AA36" s="18"/>
    </row>
    <row r="37" spans="2:27">
      <c r="B37" s="371"/>
      <c r="C37" s="295">
        <v>1.2</v>
      </c>
      <c r="D37" s="295">
        <v>1.2</v>
      </c>
      <c r="E37" s="295">
        <v>1.3</v>
      </c>
      <c r="F37" s="295">
        <v>1.2</v>
      </c>
      <c r="G37" s="295">
        <v>1.3</v>
      </c>
      <c r="H37" s="295">
        <v>1.2</v>
      </c>
      <c r="I37" s="295">
        <v>1.1000000000000001</v>
      </c>
      <c r="J37" s="295">
        <v>1.3</v>
      </c>
      <c r="K37" s="295">
        <v>1.1000000000000001</v>
      </c>
      <c r="L37" s="295">
        <v>1</v>
      </c>
      <c r="M37" s="308"/>
      <c r="N37" s="308">
        <v>1.2</v>
      </c>
      <c r="O37" s="308">
        <v>1</v>
      </c>
      <c r="P37" s="308">
        <v>1</v>
      </c>
      <c r="Q37" s="308">
        <v>1.1000000000000001</v>
      </c>
      <c r="R37" s="308">
        <v>1.2</v>
      </c>
      <c r="S37" s="308">
        <v>1.1000000000000001</v>
      </c>
      <c r="T37" s="308">
        <v>1.2</v>
      </c>
      <c r="U37" s="308">
        <v>1.1000000000000001</v>
      </c>
      <c r="V37" s="308">
        <v>0.9</v>
      </c>
      <c r="W37" s="308">
        <v>1</v>
      </c>
      <c r="X37" s="308">
        <v>0.9</v>
      </c>
      <c r="Y37" s="309">
        <v>1</v>
      </c>
      <c r="Z37" s="155"/>
      <c r="AA37" s="18"/>
    </row>
    <row r="38" spans="2:27">
      <c r="B38" s="296" t="s">
        <v>429</v>
      </c>
      <c r="C38" s="301">
        <v>22533</v>
      </c>
      <c r="D38" s="301">
        <v>1901</v>
      </c>
      <c r="E38" s="301">
        <v>1952</v>
      </c>
      <c r="F38" s="301">
        <v>1911</v>
      </c>
      <c r="G38" s="301">
        <v>1960</v>
      </c>
      <c r="H38" s="301">
        <v>1835</v>
      </c>
      <c r="I38" s="301">
        <v>1756</v>
      </c>
      <c r="J38" s="301">
        <v>2069</v>
      </c>
      <c r="K38" s="301">
        <v>1835</v>
      </c>
      <c r="L38" s="301">
        <v>1811</v>
      </c>
      <c r="M38" s="308">
        <f>SUM(D38:L38)</f>
        <v>17030</v>
      </c>
      <c r="N38" s="308">
        <v>1872</v>
      </c>
      <c r="O38" s="308">
        <v>1765</v>
      </c>
      <c r="P38" s="308">
        <v>1871</v>
      </c>
      <c r="Q38" s="308">
        <v>1570</v>
      </c>
      <c r="R38" s="308">
        <v>1868</v>
      </c>
      <c r="S38" s="308">
        <v>1841</v>
      </c>
      <c r="T38" s="308">
        <v>2025</v>
      </c>
      <c r="U38" s="308">
        <v>1663</v>
      </c>
      <c r="V38" s="308">
        <v>1799</v>
      </c>
      <c r="W38" s="308">
        <v>1921</v>
      </c>
      <c r="X38" s="308">
        <v>1673</v>
      </c>
      <c r="Y38" s="309">
        <v>1920</v>
      </c>
      <c r="Z38" s="155">
        <f>SUM(Q38:Y38)</f>
        <v>16280</v>
      </c>
      <c r="AA38" s="18">
        <f t="shared" si="0"/>
        <v>-4.4039929536112741</v>
      </c>
    </row>
    <row r="39" spans="2:27">
      <c r="B39" s="297" t="s">
        <v>434</v>
      </c>
      <c r="C39" s="295" t="s">
        <v>525</v>
      </c>
      <c r="D39" s="295">
        <v>-10.199999999999999</v>
      </c>
      <c r="E39" s="295" t="s">
        <v>565</v>
      </c>
      <c r="F39" s="295" t="s">
        <v>566</v>
      </c>
      <c r="G39" s="295">
        <v>-2.8</v>
      </c>
      <c r="H39" s="295" t="s">
        <v>461</v>
      </c>
      <c r="I39" s="295" t="s">
        <v>533</v>
      </c>
      <c r="J39" s="295">
        <v>-2.2999999999999998</v>
      </c>
      <c r="K39" s="295" t="s">
        <v>567</v>
      </c>
      <c r="L39" s="295" t="s">
        <v>526</v>
      </c>
      <c r="M39" s="308"/>
      <c r="N39" s="308">
        <v>-5.7</v>
      </c>
      <c r="O39" s="308" t="s">
        <v>482</v>
      </c>
      <c r="P39" s="308">
        <v>-5.6</v>
      </c>
      <c r="Q39" s="308" t="s">
        <v>474</v>
      </c>
      <c r="R39" s="308" t="s">
        <v>453</v>
      </c>
      <c r="S39" s="308" t="s">
        <v>488</v>
      </c>
      <c r="T39" s="308">
        <v>-3.4</v>
      </c>
      <c r="U39" s="308" t="s">
        <v>448</v>
      </c>
      <c r="V39" s="308">
        <v>-2.5</v>
      </c>
      <c r="W39" s="308" t="s">
        <v>527</v>
      </c>
      <c r="X39" s="308" t="s">
        <v>528</v>
      </c>
      <c r="Y39" s="309">
        <v>-6</v>
      </c>
      <c r="Z39" s="155"/>
      <c r="AA39" s="18"/>
    </row>
    <row r="40" spans="2:27">
      <c r="B40" s="302"/>
      <c r="C40" s="295">
        <v>3.3</v>
      </c>
      <c r="D40" s="295">
        <v>3.5</v>
      </c>
      <c r="E40" s="295">
        <v>3.7</v>
      </c>
      <c r="F40" s="295">
        <v>3.4</v>
      </c>
      <c r="G40" s="295">
        <v>3.5</v>
      </c>
      <c r="H40" s="295">
        <v>3.2</v>
      </c>
      <c r="I40" s="295">
        <v>3.1</v>
      </c>
      <c r="J40" s="295">
        <v>3.6</v>
      </c>
      <c r="K40" s="295">
        <v>3.2</v>
      </c>
      <c r="L40" s="295">
        <v>3.1</v>
      </c>
      <c r="M40" s="308"/>
      <c r="N40" s="308">
        <v>3.3</v>
      </c>
      <c r="O40" s="308">
        <v>3.1</v>
      </c>
      <c r="P40" s="308">
        <v>3</v>
      </c>
      <c r="Q40" s="308">
        <v>3.2</v>
      </c>
      <c r="R40" s="308">
        <v>3.6</v>
      </c>
      <c r="S40" s="308">
        <v>3.2</v>
      </c>
      <c r="T40" s="308">
        <v>3.5</v>
      </c>
      <c r="U40" s="308">
        <v>2.9</v>
      </c>
      <c r="V40" s="308">
        <v>3</v>
      </c>
      <c r="W40" s="308">
        <v>3.2</v>
      </c>
      <c r="X40" s="308">
        <v>2.9</v>
      </c>
      <c r="Y40" s="309">
        <v>2.9</v>
      </c>
      <c r="Z40" s="155"/>
      <c r="AA40" s="18"/>
    </row>
    <row r="41" spans="2:27">
      <c r="B41" s="369" t="s">
        <v>435</v>
      </c>
      <c r="C41" s="301">
        <v>13163</v>
      </c>
      <c r="D41" s="295">
        <v>715</v>
      </c>
      <c r="E41" s="295">
        <v>620</v>
      </c>
      <c r="F41" s="295">
        <v>888</v>
      </c>
      <c r="G41" s="295">
        <v>783</v>
      </c>
      <c r="H41" s="301">
        <v>1045</v>
      </c>
      <c r="I41" s="301">
        <v>1152</v>
      </c>
      <c r="J41" s="301">
        <v>1167</v>
      </c>
      <c r="K41" s="301">
        <v>1469</v>
      </c>
      <c r="L41" s="301">
        <v>1512</v>
      </c>
      <c r="M41" s="308">
        <f>SUM(D41:L41)</f>
        <v>9351</v>
      </c>
      <c r="N41" s="308">
        <v>965</v>
      </c>
      <c r="O41" s="308">
        <v>1352</v>
      </c>
      <c r="P41" s="308">
        <v>1497</v>
      </c>
      <c r="Q41" s="308">
        <v>821</v>
      </c>
      <c r="R41" s="308">
        <v>796</v>
      </c>
      <c r="S41" s="308">
        <v>1182</v>
      </c>
      <c r="T41" s="308">
        <v>663</v>
      </c>
      <c r="U41" s="308">
        <v>1069</v>
      </c>
      <c r="V41" s="308">
        <v>1325</v>
      </c>
      <c r="W41" s="308">
        <v>951</v>
      </c>
      <c r="X41" s="308">
        <v>1202</v>
      </c>
      <c r="Y41" s="309">
        <v>1312</v>
      </c>
      <c r="Z41" s="155">
        <f>SUM(Q41:Y41)</f>
        <v>9321</v>
      </c>
      <c r="AA41" s="18">
        <f t="shared" si="0"/>
        <v>-0.32082130253448832</v>
      </c>
    </row>
    <row r="42" spans="2:27">
      <c r="B42" s="370"/>
      <c r="C42" s="295">
        <v>-76.7</v>
      </c>
      <c r="D42" s="295">
        <v>-37.5</v>
      </c>
      <c r="E42" s="295">
        <v>-17.8</v>
      </c>
      <c r="F42" s="295">
        <v>-24.5</v>
      </c>
      <c r="G42" s="295">
        <v>-75.5</v>
      </c>
      <c r="H42" s="295">
        <v>-48.5</v>
      </c>
      <c r="I42" s="295">
        <v>-58.9</v>
      </c>
      <c r="J42" s="295">
        <v>-61.7</v>
      </c>
      <c r="K42" s="295">
        <v>-181.6</v>
      </c>
      <c r="L42" s="295">
        <v>-132</v>
      </c>
      <c r="M42" s="308"/>
      <c r="N42" s="308">
        <v>-54.1</v>
      </c>
      <c r="O42" s="308">
        <v>-122.3</v>
      </c>
      <c r="P42" s="308">
        <v>-118.1</v>
      </c>
      <c r="Q42" s="308">
        <v>-14.9</v>
      </c>
      <c r="R42" s="308">
        <v>-28.5</v>
      </c>
      <c r="S42" s="308">
        <v>-33.1</v>
      </c>
      <c r="T42" s="308" t="s">
        <v>529</v>
      </c>
      <c r="U42" s="308">
        <v>-2.2999999999999998</v>
      </c>
      <c r="V42" s="308">
        <v>-15</v>
      </c>
      <c r="W42" s="308" t="s">
        <v>491</v>
      </c>
      <c r="X42" s="308" t="s">
        <v>530</v>
      </c>
      <c r="Y42" s="309" t="s">
        <v>531</v>
      </c>
      <c r="Z42" s="155"/>
      <c r="AA42" s="18"/>
    </row>
    <row r="43" spans="2:27">
      <c r="B43" s="371"/>
      <c r="C43" s="295">
        <v>1.9</v>
      </c>
      <c r="D43" s="295">
        <v>1.3</v>
      </c>
      <c r="E43" s="295">
        <v>1.2</v>
      </c>
      <c r="F43" s="295">
        <v>1.6</v>
      </c>
      <c r="G43" s="295">
        <v>1.4</v>
      </c>
      <c r="H43" s="295">
        <v>1.8</v>
      </c>
      <c r="I43" s="295">
        <v>2</v>
      </c>
      <c r="J43" s="295">
        <v>2</v>
      </c>
      <c r="K43" s="295">
        <v>2.5</v>
      </c>
      <c r="L43" s="295">
        <v>2.6</v>
      </c>
      <c r="M43" s="308"/>
      <c r="N43" s="308">
        <v>1.7</v>
      </c>
      <c r="O43" s="308">
        <v>2.4</v>
      </c>
      <c r="P43" s="308">
        <v>2.4</v>
      </c>
      <c r="Q43" s="308">
        <v>1.7</v>
      </c>
      <c r="R43" s="308">
        <v>1.5</v>
      </c>
      <c r="S43" s="308">
        <v>2</v>
      </c>
      <c r="T43" s="308">
        <v>1.1000000000000001</v>
      </c>
      <c r="U43" s="308">
        <v>1.9</v>
      </c>
      <c r="V43" s="308">
        <v>2.2000000000000002</v>
      </c>
      <c r="W43" s="308">
        <v>1.6</v>
      </c>
      <c r="X43" s="308">
        <v>2.1</v>
      </c>
      <c r="Y43" s="309">
        <v>2</v>
      </c>
      <c r="Z43" s="155"/>
      <c r="AA43" s="18"/>
    </row>
    <row r="44" spans="2:27">
      <c r="B44" s="310" t="s">
        <v>436</v>
      </c>
      <c r="C44" s="301">
        <v>15080</v>
      </c>
      <c r="D44" s="301">
        <v>1151</v>
      </c>
      <c r="E44" s="301">
        <v>1166</v>
      </c>
      <c r="F44" s="301">
        <v>1317</v>
      </c>
      <c r="G44" s="301">
        <v>1241</v>
      </c>
      <c r="H44" s="301">
        <v>1293</v>
      </c>
      <c r="I44" s="301">
        <v>1217</v>
      </c>
      <c r="J44" s="301">
        <v>1240</v>
      </c>
      <c r="K44" s="301">
        <v>1279</v>
      </c>
      <c r="L44" s="301">
        <v>1236</v>
      </c>
      <c r="M44" s="308">
        <f>SUM(D44:L44)</f>
        <v>11140</v>
      </c>
      <c r="N44" s="308">
        <v>1236</v>
      </c>
      <c r="O44" s="308">
        <v>1438</v>
      </c>
      <c r="P44" s="308">
        <v>1267</v>
      </c>
      <c r="Q44" s="308">
        <v>1137</v>
      </c>
      <c r="R44" s="308">
        <v>1222</v>
      </c>
      <c r="S44" s="308">
        <v>1408</v>
      </c>
      <c r="T44" s="308">
        <v>1422</v>
      </c>
      <c r="U44" s="308">
        <v>1351</v>
      </c>
      <c r="V44" s="308">
        <v>1657</v>
      </c>
      <c r="W44" s="308">
        <v>1180</v>
      </c>
      <c r="X44" s="308">
        <v>1128</v>
      </c>
      <c r="Y44" s="309">
        <v>1679</v>
      </c>
      <c r="Z44" s="155">
        <f>SUM(Q44:Y44)</f>
        <v>12184</v>
      </c>
      <c r="AA44" s="18">
        <f t="shared" si="0"/>
        <v>9.3716337522441648</v>
      </c>
    </row>
    <row r="45" spans="2:27">
      <c r="B45" s="311" t="s">
        <v>437</v>
      </c>
      <c r="C45" s="295">
        <v>-13</v>
      </c>
      <c r="D45" s="295">
        <v>-3.4</v>
      </c>
      <c r="E45" s="295">
        <v>-9.3000000000000007</v>
      </c>
      <c r="F45" s="295">
        <v>-9.9</v>
      </c>
      <c r="G45" s="295">
        <v>-21</v>
      </c>
      <c r="H45" s="295">
        <v>-18.7</v>
      </c>
      <c r="I45" s="295" t="s">
        <v>514</v>
      </c>
      <c r="J45" s="295">
        <v>-28.9</v>
      </c>
      <c r="K45" s="295">
        <v>-38.799999999999997</v>
      </c>
      <c r="L45" s="295">
        <v>-9.9</v>
      </c>
      <c r="M45" s="308"/>
      <c r="N45" s="308">
        <v>-18.399999999999999</v>
      </c>
      <c r="O45" s="308">
        <v>-19.2</v>
      </c>
      <c r="P45" s="308" t="s">
        <v>532</v>
      </c>
      <c r="Q45" s="308" t="s">
        <v>465</v>
      </c>
      <c r="R45" s="308">
        <v>-4.9000000000000004</v>
      </c>
      <c r="S45" s="308">
        <v>-6.9</v>
      </c>
      <c r="T45" s="308">
        <v>-14.6</v>
      </c>
      <c r="U45" s="308">
        <v>-4.4000000000000004</v>
      </c>
      <c r="V45" s="308">
        <v>-36.200000000000003</v>
      </c>
      <c r="W45" s="308" t="s">
        <v>477</v>
      </c>
      <c r="X45" s="308" t="s">
        <v>533</v>
      </c>
      <c r="Y45" s="309">
        <v>-35.799999999999997</v>
      </c>
      <c r="Z45" s="155"/>
      <c r="AA45" s="18"/>
    </row>
    <row r="46" spans="2:27">
      <c r="B46" s="312"/>
      <c r="C46" s="295">
        <v>2.2000000000000002</v>
      </c>
      <c r="D46" s="295">
        <v>2.1</v>
      </c>
      <c r="E46" s="295">
        <v>2.2000000000000002</v>
      </c>
      <c r="F46" s="295">
        <v>2.2999999999999998</v>
      </c>
      <c r="G46" s="295">
        <v>2.2000000000000002</v>
      </c>
      <c r="H46" s="295">
        <v>2.2000000000000002</v>
      </c>
      <c r="I46" s="295">
        <v>2.1</v>
      </c>
      <c r="J46" s="295">
        <v>2.2000000000000002</v>
      </c>
      <c r="K46" s="295">
        <v>2.2000000000000002</v>
      </c>
      <c r="L46" s="295">
        <v>2.1</v>
      </c>
      <c r="M46" s="308"/>
      <c r="N46" s="308">
        <v>2.1</v>
      </c>
      <c r="O46" s="308">
        <v>2.6</v>
      </c>
      <c r="P46" s="308">
        <v>2.1</v>
      </c>
      <c r="Q46" s="308">
        <v>2.2999999999999998</v>
      </c>
      <c r="R46" s="308">
        <v>2.2999999999999998</v>
      </c>
      <c r="S46" s="308">
        <v>2.4</v>
      </c>
      <c r="T46" s="308">
        <v>2.4</v>
      </c>
      <c r="U46" s="308">
        <v>2.4</v>
      </c>
      <c r="V46" s="308">
        <v>2.8</v>
      </c>
      <c r="W46" s="308">
        <v>1.9</v>
      </c>
      <c r="X46" s="308">
        <v>1.9</v>
      </c>
      <c r="Y46" s="309">
        <v>2.5</v>
      </c>
      <c r="Z46" s="155"/>
      <c r="AA46" s="18"/>
    </row>
    <row r="47" spans="2:27">
      <c r="B47" s="369" t="s">
        <v>438</v>
      </c>
      <c r="C47" s="301">
        <v>8202</v>
      </c>
      <c r="D47" s="295">
        <v>597</v>
      </c>
      <c r="E47" s="295">
        <v>700</v>
      </c>
      <c r="F47" s="295">
        <v>668</v>
      </c>
      <c r="G47" s="295">
        <v>618</v>
      </c>
      <c r="H47" s="295">
        <v>643</v>
      </c>
      <c r="I47" s="295">
        <v>739</v>
      </c>
      <c r="J47" s="295">
        <v>739</v>
      </c>
      <c r="K47" s="295">
        <v>706</v>
      </c>
      <c r="L47" s="295">
        <v>696</v>
      </c>
      <c r="M47" s="308">
        <f>SUM(D47:L47)</f>
        <v>6106</v>
      </c>
      <c r="N47" s="308">
        <v>623</v>
      </c>
      <c r="O47" s="308">
        <v>658</v>
      </c>
      <c r="P47" s="308">
        <v>821</v>
      </c>
      <c r="Q47" s="308">
        <v>520</v>
      </c>
      <c r="R47" s="308">
        <v>629</v>
      </c>
      <c r="S47" s="308">
        <v>637</v>
      </c>
      <c r="T47" s="308">
        <v>699</v>
      </c>
      <c r="U47" s="308">
        <v>524</v>
      </c>
      <c r="V47" s="308">
        <v>594</v>
      </c>
      <c r="W47" s="308">
        <v>583</v>
      </c>
      <c r="X47" s="308">
        <v>485</v>
      </c>
      <c r="Y47" s="309">
        <v>635</v>
      </c>
      <c r="Z47" s="155">
        <f>SUM(Q47:Y47)</f>
        <v>5306</v>
      </c>
      <c r="AA47" s="18">
        <f t="shared" si="0"/>
        <v>-13.101867016049788</v>
      </c>
    </row>
    <row r="48" spans="2:27">
      <c r="B48" s="370"/>
      <c r="C48" s="295" t="s">
        <v>534</v>
      </c>
      <c r="D48" s="295" t="s">
        <v>568</v>
      </c>
      <c r="E48" s="295" t="s">
        <v>471</v>
      </c>
      <c r="F48" s="295" t="s">
        <v>569</v>
      </c>
      <c r="G48" s="295" t="s">
        <v>570</v>
      </c>
      <c r="H48" s="295" t="s">
        <v>571</v>
      </c>
      <c r="I48" s="295" t="s">
        <v>572</v>
      </c>
      <c r="J48" s="295" t="s">
        <v>564</v>
      </c>
      <c r="K48" s="295" t="s">
        <v>489</v>
      </c>
      <c r="L48" s="295" t="s">
        <v>524</v>
      </c>
      <c r="M48" s="308"/>
      <c r="N48" s="308" t="s">
        <v>473</v>
      </c>
      <c r="O48" s="308" t="s">
        <v>535</v>
      </c>
      <c r="P48" s="308" t="s">
        <v>536</v>
      </c>
      <c r="Q48" s="308" t="s">
        <v>537</v>
      </c>
      <c r="R48" s="308" t="s">
        <v>538</v>
      </c>
      <c r="S48" s="308" t="s">
        <v>539</v>
      </c>
      <c r="T48" s="308">
        <v>-13</v>
      </c>
      <c r="U48" s="308" t="s">
        <v>491</v>
      </c>
      <c r="V48" s="308" t="s">
        <v>487</v>
      </c>
      <c r="W48" s="308" t="s">
        <v>540</v>
      </c>
      <c r="X48" s="308" t="s">
        <v>541</v>
      </c>
      <c r="Y48" s="309" t="s">
        <v>528</v>
      </c>
      <c r="Z48" s="155"/>
      <c r="AA48" s="18"/>
    </row>
    <row r="49" spans="2:27">
      <c r="B49" s="371"/>
      <c r="C49" s="295">
        <v>1.2</v>
      </c>
      <c r="D49" s="295">
        <v>1.1000000000000001</v>
      </c>
      <c r="E49" s="295">
        <v>1.3</v>
      </c>
      <c r="F49" s="295">
        <v>1.2</v>
      </c>
      <c r="G49" s="295">
        <v>1.1000000000000001</v>
      </c>
      <c r="H49" s="295">
        <v>1.1000000000000001</v>
      </c>
      <c r="I49" s="295">
        <v>1.3</v>
      </c>
      <c r="J49" s="295">
        <v>1.3</v>
      </c>
      <c r="K49" s="295">
        <v>1.2</v>
      </c>
      <c r="L49" s="295">
        <v>1.2</v>
      </c>
      <c r="M49" s="308"/>
      <c r="N49" s="308">
        <v>1.1000000000000001</v>
      </c>
      <c r="O49" s="308">
        <v>1.2</v>
      </c>
      <c r="P49" s="308">
        <v>1.3</v>
      </c>
      <c r="Q49" s="308">
        <v>1.1000000000000001</v>
      </c>
      <c r="R49" s="308">
        <v>1.2</v>
      </c>
      <c r="S49" s="308">
        <v>1.1000000000000001</v>
      </c>
      <c r="T49" s="308">
        <v>1.2</v>
      </c>
      <c r="U49" s="308">
        <v>0.9</v>
      </c>
      <c r="V49" s="308">
        <v>1</v>
      </c>
      <c r="W49" s="308">
        <v>1</v>
      </c>
      <c r="X49" s="308">
        <v>0.8</v>
      </c>
      <c r="Y49" s="309">
        <v>1</v>
      </c>
      <c r="Z49" s="155"/>
      <c r="AA49" s="18"/>
    </row>
  </sheetData>
  <mergeCells count="12">
    <mergeCell ref="B47:B49"/>
    <mergeCell ref="B2:Y2"/>
    <mergeCell ref="B3:B4"/>
    <mergeCell ref="C3:C4"/>
    <mergeCell ref="B5:B7"/>
    <mergeCell ref="D3:P3"/>
    <mergeCell ref="Q3:Z3"/>
    <mergeCell ref="B20:B22"/>
    <mergeCell ref="B23:B25"/>
    <mergeCell ref="B32:B34"/>
    <mergeCell ref="B35:B37"/>
    <mergeCell ref="B41:B4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7B5E0-5A61-45D3-AB65-630AFCB6FEFE}">
  <dimension ref="B3:AB25"/>
  <sheetViews>
    <sheetView workbookViewId="0">
      <selection activeCell="J31" sqref="G31:J35"/>
    </sheetView>
  </sheetViews>
  <sheetFormatPr defaultRowHeight="16.5"/>
  <cols>
    <col min="3" max="12" width="9" customWidth="1"/>
    <col min="13" max="13" width="9" style="150"/>
    <col min="14" max="26" width="9" customWidth="1"/>
  </cols>
  <sheetData>
    <row r="3" spans="2:28">
      <c r="B3" s="372" t="s">
        <v>573</v>
      </c>
      <c r="C3" s="372"/>
      <c r="D3" s="372"/>
      <c r="E3" s="372"/>
      <c r="F3" s="372"/>
      <c r="G3" s="372"/>
      <c r="H3" s="372"/>
      <c r="I3" s="372"/>
      <c r="J3" s="372"/>
      <c r="K3" s="372"/>
      <c r="L3" s="372"/>
      <c r="M3" s="372"/>
      <c r="N3" s="372"/>
      <c r="O3" s="372"/>
      <c r="P3" s="372"/>
      <c r="Q3" s="372"/>
      <c r="R3" s="372"/>
      <c r="S3" s="372"/>
      <c r="T3" s="372"/>
      <c r="U3" s="372"/>
      <c r="V3" s="372"/>
      <c r="W3" s="372"/>
      <c r="X3" s="372"/>
      <c r="Y3" s="372"/>
      <c r="Z3" s="372"/>
    </row>
    <row r="4" spans="2:28" ht="16.5" customHeight="1">
      <c r="B4" s="384" t="s">
        <v>574</v>
      </c>
      <c r="C4" s="304" t="s">
        <v>575</v>
      </c>
      <c r="D4" s="386" t="s">
        <v>441</v>
      </c>
      <c r="E4" s="387"/>
      <c r="F4" s="387"/>
      <c r="G4" s="387"/>
      <c r="H4" s="387"/>
      <c r="I4" s="387"/>
      <c r="J4" s="387"/>
      <c r="K4" s="387"/>
      <c r="L4" s="387"/>
      <c r="M4" s="387"/>
      <c r="N4" s="387"/>
      <c r="O4" s="387"/>
      <c r="P4" s="387"/>
      <c r="Q4" s="387"/>
      <c r="R4" s="386" t="s">
        <v>442</v>
      </c>
      <c r="S4" s="387"/>
      <c r="T4" s="387"/>
      <c r="U4" s="387"/>
      <c r="V4" s="387"/>
      <c r="W4" s="387"/>
      <c r="X4" s="387"/>
      <c r="Y4" s="387"/>
      <c r="Z4" s="387"/>
    </row>
    <row r="5" spans="2:28">
      <c r="B5" s="385"/>
      <c r="C5" s="294" t="s">
        <v>576</v>
      </c>
      <c r="D5" s="299" t="s">
        <v>230</v>
      </c>
      <c r="E5" s="299" t="s">
        <v>21</v>
      </c>
      <c r="F5" s="299" t="s">
        <v>22</v>
      </c>
      <c r="G5" s="299" t="s">
        <v>23</v>
      </c>
      <c r="H5" s="299" t="s">
        <v>24</v>
      </c>
      <c r="I5" s="299" t="s">
        <v>25</v>
      </c>
      <c r="J5" s="299" t="s">
        <v>26</v>
      </c>
      <c r="K5" s="299" t="s">
        <v>27</v>
      </c>
      <c r="L5" s="299" t="s">
        <v>28</v>
      </c>
      <c r="M5" s="299" t="s">
        <v>615</v>
      </c>
      <c r="N5" s="299" t="s">
        <v>29</v>
      </c>
      <c r="O5" s="299" t="s">
        <v>30</v>
      </c>
      <c r="P5" s="300" t="s">
        <v>31</v>
      </c>
      <c r="Q5" s="303" t="s">
        <v>577</v>
      </c>
      <c r="R5" s="299" t="s">
        <v>230</v>
      </c>
      <c r="S5" s="299" t="s">
        <v>21</v>
      </c>
      <c r="T5" s="299" t="s">
        <v>22</v>
      </c>
      <c r="U5" s="299" t="s">
        <v>23</v>
      </c>
      <c r="V5" s="299" t="s">
        <v>24</v>
      </c>
      <c r="W5" s="299" t="s">
        <v>25</v>
      </c>
      <c r="X5" s="299" t="s">
        <v>26</v>
      </c>
      <c r="Y5" s="299" t="s">
        <v>27</v>
      </c>
      <c r="Z5" s="303" t="s">
        <v>28</v>
      </c>
      <c r="AA5" s="318" t="s">
        <v>615</v>
      </c>
    </row>
    <row r="6" spans="2:28">
      <c r="B6" s="382" t="s">
        <v>578</v>
      </c>
      <c r="C6" s="301">
        <v>124818</v>
      </c>
      <c r="D6" s="313">
        <v>10700</v>
      </c>
      <c r="E6" s="301">
        <v>9645</v>
      </c>
      <c r="F6" s="301">
        <v>10520</v>
      </c>
      <c r="G6" s="301">
        <v>10476</v>
      </c>
      <c r="H6" s="301">
        <v>11378</v>
      </c>
      <c r="I6" s="313">
        <v>10706</v>
      </c>
      <c r="J6" s="301">
        <v>11390</v>
      </c>
      <c r="K6" s="301">
        <v>11342</v>
      </c>
      <c r="L6" s="301">
        <v>11627</v>
      </c>
      <c r="M6" s="301">
        <f>SUM(D6:L6)</f>
        <v>97784</v>
      </c>
      <c r="N6" s="301">
        <v>12177</v>
      </c>
      <c r="O6" s="301">
        <v>11267</v>
      </c>
      <c r="P6" s="314">
        <v>11798</v>
      </c>
      <c r="Q6" s="306">
        <v>133026</v>
      </c>
      <c r="R6" s="313">
        <v>9209</v>
      </c>
      <c r="S6" s="301">
        <v>9504</v>
      </c>
      <c r="T6" s="301">
        <v>10058</v>
      </c>
      <c r="U6" s="301">
        <v>10869</v>
      </c>
      <c r="V6" s="301">
        <v>10446</v>
      </c>
      <c r="W6" s="301">
        <v>10423</v>
      </c>
      <c r="X6" s="301">
        <v>11047</v>
      </c>
      <c r="Y6" s="301">
        <v>11002</v>
      </c>
      <c r="Z6" s="306">
        <v>11680</v>
      </c>
      <c r="AA6" s="270">
        <f>SUM(R6:Z6)</f>
        <v>94238</v>
      </c>
      <c r="AB6" s="320">
        <f>(AA6-M6)/M6*100</f>
        <v>-3.6263601407183184</v>
      </c>
    </row>
    <row r="7" spans="2:28">
      <c r="B7" s="383"/>
      <c r="C7" s="295" t="s">
        <v>579</v>
      </c>
      <c r="D7" s="315">
        <v>-16.2</v>
      </c>
      <c r="E7" s="295" t="s">
        <v>580</v>
      </c>
      <c r="F7" s="295">
        <v>-0.4</v>
      </c>
      <c r="G7" s="295">
        <v>-10</v>
      </c>
      <c r="H7" s="295">
        <v>-7.5</v>
      </c>
      <c r="I7" s="315">
        <v>-1.9</v>
      </c>
      <c r="J7" s="295">
        <v>-14.7</v>
      </c>
      <c r="K7" s="295">
        <v>-7.9</v>
      </c>
      <c r="L7" s="295">
        <v>-5.7</v>
      </c>
      <c r="M7" s="295"/>
      <c r="N7" s="295">
        <v>-10.8</v>
      </c>
      <c r="O7" s="295" t="s">
        <v>581</v>
      </c>
      <c r="P7" s="316">
        <v>-8.6</v>
      </c>
      <c r="Q7" s="303">
        <v>-6.6</v>
      </c>
      <c r="R7" s="315" t="s">
        <v>518</v>
      </c>
      <c r="S7" s="295" t="s">
        <v>591</v>
      </c>
      <c r="T7" s="295" t="s">
        <v>511</v>
      </c>
      <c r="U7" s="295">
        <v>-3.8</v>
      </c>
      <c r="V7" s="295" t="s">
        <v>482</v>
      </c>
      <c r="W7" s="295" t="s">
        <v>552</v>
      </c>
      <c r="X7" s="295" t="s">
        <v>483</v>
      </c>
      <c r="Y7" s="295" t="s">
        <v>483</v>
      </c>
      <c r="Z7" s="303">
        <v>-0.5</v>
      </c>
      <c r="AA7" s="270"/>
      <c r="AB7" s="320"/>
    </row>
    <row r="8" spans="2:28">
      <c r="B8" s="382" t="s">
        <v>582</v>
      </c>
      <c r="C8" s="301">
        <v>115696</v>
      </c>
      <c r="D8" s="313">
        <v>10253</v>
      </c>
      <c r="E8" s="301">
        <v>9809</v>
      </c>
      <c r="F8" s="301">
        <v>10881</v>
      </c>
      <c r="G8" s="301">
        <v>11402</v>
      </c>
      <c r="H8" s="301">
        <v>10930</v>
      </c>
      <c r="I8" s="313">
        <v>11295</v>
      </c>
      <c r="J8" s="301">
        <v>10185</v>
      </c>
      <c r="K8" s="301">
        <v>9938</v>
      </c>
      <c r="L8" s="301">
        <v>10416</v>
      </c>
      <c r="M8" s="301">
        <f>SUM(D8:L8)</f>
        <v>95109</v>
      </c>
      <c r="N8" s="301">
        <v>10397</v>
      </c>
      <c r="O8" s="301">
        <v>10380</v>
      </c>
      <c r="P8" s="314">
        <v>11906</v>
      </c>
      <c r="Q8" s="306">
        <v>127791</v>
      </c>
      <c r="R8" s="313">
        <v>9283</v>
      </c>
      <c r="S8" s="301">
        <v>9891</v>
      </c>
      <c r="T8" s="301">
        <v>11109</v>
      </c>
      <c r="U8" s="301">
        <v>10607</v>
      </c>
      <c r="V8" s="301">
        <v>10038</v>
      </c>
      <c r="W8" s="301">
        <v>11204</v>
      </c>
      <c r="X8" s="301">
        <v>10335</v>
      </c>
      <c r="Y8" s="301">
        <v>8740</v>
      </c>
      <c r="Z8" s="306">
        <v>10269</v>
      </c>
      <c r="AA8" s="270">
        <f>SUM(R8:Z8)</f>
        <v>91476</v>
      </c>
      <c r="AB8" s="320">
        <f t="shared" ref="AB8:AB24" si="0">(AA8-M8)/M8*100</f>
        <v>-3.8198277765511151</v>
      </c>
    </row>
    <row r="9" spans="2:28">
      <c r="B9" s="383"/>
      <c r="C9" s="295">
        <v>-5.4</v>
      </c>
      <c r="D9" s="315">
        <v>-27.2</v>
      </c>
      <c r="E9" s="295">
        <v>-9.1</v>
      </c>
      <c r="F9" s="295">
        <v>-11.3</v>
      </c>
      <c r="G9" s="295">
        <v>-24.2</v>
      </c>
      <c r="H9" s="295">
        <v>-15.5</v>
      </c>
      <c r="I9" s="315">
        <v>-17.7</v>
      </c>
      <c r="J9" s="295">
        <v>-9.4</v>
      </c>
      <c r="K9" s="295">
        <v>-10.9</v>
      </c>
      <c r="L9" s="295">
        <v>-3.4</v>
      </c>
      <c r="M9" s="295"/>
      <c r="N9" s="295">
        <v>-3.4</v>
      </c>
      <c r="O9" s="295" t="s">
        <v>557</v>
      </c>
      <c r="P9" s="316">
        <v>-5.5</v>
      </c>
      <c r="Q9" s="303">
        <v>-10.5</v>
      </c>
      <c r="R9" s="315" t="s">
        <v>608</v>
      </c>
      <c r="S9" s="295">
        <v>-0.8</v>
      </c>
      <c r="T9" s="295">
        <v>-2.1</v>
      </c>
      <c r="U9" s="295" t="s">
        <v>609</v>
      </c>
      <c r="V9" s="295" t="s">
        <v>482</v>
      </c>
      <c r="W9" s="295" t="s">
        <v>596</v>
      </c>
      <c r="X9" s="295">
        <v>-1.5</v>
      </c>
      <c r="Y9" s="295" t="s">
        <v>470</v>
      </c>
      <c r="Z9" s="303" t="s">
        <v>610</v>
      </c>
      <c r="AA9" s="270"/>
      <c r="AB9" s="320"/>
    </row>
    <row r="10" spans="2:28">
      <c r="B10" s="382" t="s">
        <v>583</v>
      </c>
      <c r="C10" s="301">
        <v>29001</v>
      </c>
      <c r="D10" s="313">
        <v>2543</v>
      </c>
      <c r="E10" s="301">
        <v>2374</v>
      </c>
      <c r="F10" s="301">
        <v>2127</v>
      </c>
      <c r="G10" s="301">
        <v>2439</v>
      </c>
      <c r="H10" s="301">
        <v>2606</v>
      </c>
      <c r="I10" s="313">
        <v>2382</v>
      </c>
      <c r="J10" s="301">
        <v>2598</v>
      </c>
      <c r="K10" s="301">
        <v>2500</v>
      </c>
      <c r="L10" s="301">
        <v>2480</v>
      </c>
      <c r="M10" s="301">
        <f>SUM(D10:L10)</f>
        <v>22049</v>
      </c>
      <c r="N10" s="301">
        <v>2427</v>
      </c>
      <c r="O10" s="301">
        <v>2482</v>
      </c>
      <c r="P10" s="314">
        <v>2636</v>
      </c>
      <c r="Q10" s="306">
        <v>29594</v>
      </c>
      <c r="R10" s="313">
        <v>2364</v>
      </c>
      <c r="S10" s="301">
        <v>2265</v>
      </c>
      <c r="T10" s="301">
        <v>2159</v>
      </c>
      <c r="U10" s="301">
        <v>2306</v>
      </c>
      <c r="V10" s="301">
        <v>2372</v>
      </c>
      <c r="W10" s="301">
        <v>2441</v>
      </c>
      <c r="X10" s="301">
        <v>2484</v>
      </c>
      <c r="Y10" s="301">
        <v>2368</v>
      </c>
      <c r="Z10" s="306">
        <v>2559</v>
      </c>
      <c r="AA10" s="270">
        <f>SUM(R10:Z10)</f>
        <v>21318</v>
      </c>
      <c r="AB10" s="320">
        <f t="shared" si="0"/>
        <v>-3.3153430994602933</v>
      </c>
    </row>
    <row r="11" spans="2:28">
      <c r="B11" s="383"/>
      <c r="C11" s="295" t="s">
        <v>557</v>
      </c>
      <c r="D11" s="315">
        <v>-10.8</v>
      </c>
      <c r="E11" s="295">
        <v>-1.2</v>
      </c>
      <c r="F11" s="295" t="s">
        <v>524</v>
      </c>
      <c r="G11" s="295">
        <v>-18</v>
      </c>
      <c r="H11" s="295">
        <v>-1.6</v>
      </c>
      <c r="I11" s="315" t="s">
        <v>566</v>
      </c>
      <c r="J11" s="295">
        <v>-9.9</v>
      </c>
      <c r="K11" s="295">
        <v>-5.8</v>
      </c>
      <c r="L11" s="295" t="s">
        <v>445</v>
      </c>
      <c r="M11" s="295"/>
      <c r="N11" s="295" t="s">
        <v>552</v>
      </c>
      <c r="O11" s="295" t="s">
        <v>584</v>
      </c>
      <c r="P11" s="316">
        <v>-6</v>
      </c>
      <c r="Q11" s="303">
        <v>-2</v>
      </c>
      <c r="R11" s="315" t="s">
        <v>609</v>
      </c>
      <c r="S11" s="295" t="s">
        <v>521</v>
      </c>
      <c r="T11" s="295">
        <v>-1.5</v>
      </c>
      <c r="U11" s="295" t="s">
        <v>476</v>
      </c>
      <c r="V11" s="295" t="s">
        <v>473</v>
      </c>
      <c r="W11" s="295">
        <v>-2.5</v>
      </c>
      <c r="X11" s="295" t="s">
        <v>511</v>
      </c>
      <c r="Y11" s="295" t="s">
        <v>461</v>
      </c>
      <c r="Z11" s="303">
        <v>-3.2</v>
      </c>
      <c r="AA11" s="270"/>
      <c r="AB11" s="320"/>
    </row>
    <row r="12" spans="2:28">
      <c r="B12" s="382" t="s">
        <v>585</v>
      </c>
      <c r="C12" s="301">
        <v>109123</v>
      </c>
      <c r="D12" s="313">
        <v>8777</v>
      </c>
      <c r="E12" s="301">
        <v>8508</v>
      </c>
      <c r="F12" s="301">
        <v>9459</v>
      </c>
      <c r="G12" s="301">
        <v>9031</v>
      </c>
      <c r="H12" s="301">
        <v>10134</v>
      </c>
      <c r="I12" s="313">
        <v>9564</v>
      </c>
      <c r="J12" s="301">
        <v>9910</v>
      </c>
      <c r="K12" s="301">
        <v>9737</v>
      </c>
      <c r="L12" s="301">
        <v>9391</v>
      </c>
      <c r="M12" s="301">
        <f>SUM(D12:L12)</f>
        <v>84511</v>
      </c>
      <c r="N12" s="301">
        <v>10048</v>
      </c>
      <c r="O12" s="301">
        <v>9819</v>
      </c>
      <c r="P12" s="317">
        <v>9637.6</v>
      </c>
      <c r="Q12" s="306">
        <v>114014</v>
      </c>
      <c r="R12" s="313">
        <v>8608</v>
      </c>
      <c r="S12" s="301">
        <v>9561</v>
      </c>
      <c r="T12" s="301">
        <v>10243</v>
      </c>
      <c r="U12" s="301">
        <v>9399</v>
      </c>
      <c r="V12" s="301">
        <v>10008</v>
      </c>
      <c r="W12" s="301">
        <v>9810</v>
      </c>
      <c r="X12" s="301">
        <v>10825</v>
      </c>
      <c r="Y12" s="301">
        <v>10890</v>
      </c>
      <c r="Z12" s="306">
        <v>11059</v>
      </c>
      <c r="AA12" s="270">
        <f>SUM(R12:Z12)</f>
        <v>90403</v>
      </c>
      <c r="AB12" s="320">
        <f t="shared" si="0"/>
        <v>6.9718734839251697</v>
      </c>
    </row>
    <row r="13" spans="2:28">
      <c r="B13" s="383"/>
      <c r="C13" s="295" t="s">
        <v>537</v>
      </c>
      <c r="D13" s="315">
        <v>-6</v>
      </c>
      <c r="E13" s="295">
        <v>-0.8</v>
      </c>
      <c r="F13" s="295" t="s">
        <v>465</v>
      </c>
      <c r="G13" s="295">
        <v>-9.5</v>
      </c>
      <c r="H13" s="295">
        <v>-21.2</v>
      </c>
      <c r="I13" s="315">
        <v>-11.8</v>
      </c>
      <c r="J13" s="295">
        <v>-11.7</v>
      </c>
      <c r="K13" s="295">
        <v>-0.8</v>
      </c>
      <c r="L13" s="295" t="s">
        <v>586</v>
      </c>
      <c r="M13" s="295"/>
      <c r="N13" s="295" t="s">
        <v>489</v>
      </c>
      <c r="O13" s="295">
        <v>-0.4</v>
      </c>
      <c r="P13" s="316">
        <v>-2.1</v>
      </c>
      <c r="Q13" s="303">
        <v>-4.5</v>
      </c>
      <c r="R13" s="315" t="s">
        <v>611</v>
      </c>
      <c r="S13" s="295">
        <v>-12.4</v>
      </c>
      <c r="T13" s="295">
        <v>-8.3000000000000007</v>
      </c>
      <c r="U13" s="295">
        <v>-4.0999999999999996</v>
      </c>
      <c r="V13" s="295" t="s">
        <v>445</v>
      </c>
      <c r="W13" s="295">
        <v>-2.6</v>
      </c>
      <c r="X13" s="295">
        <v>-9.1999999999999993</v>
      </c>
      <c r="Y13" s="295">
        <v>-11.9</v>
      </c>
      <c r="Z13" s="303">
        <v>-17.8</v>
      </c>
      <c r="AA13" s="270"/>
      <c r="AB13" s="320"/>
    </row>
    <row r="14" spans="2:28">
      <c r="B14" s="382" t="s">
        <v>587</v>
      </c>
      <c r="C14" s="301">
        <v>68188</v>
      </c>
      <c r="D14" s="313">
        <v>5701</v>
      </c>
      <c r="E14" s="301">
        <v>5663</v>
      </c>
      <c r="F14" s="301">
        <v>5705</v>
      </c>
      <c r="G14" s="301">
        <v>5649</v>
      </c>
      <c r="H14" s="301">
        <v>5815</v>
      </c>
      <c r="I14" s="313">
        <v>5057</v>
      </c>
      <c r="J14" s="301">
        <v>5546</v>
      </c>
      <c r="K14" s="301">
        <v>6405</v>
      </c>
      <c r="L14" s="301">
        <v>6003</v>
      </c>
      <c r="M14" s="301">
        <f>SUM(D14:L14)</f>
        <v>51544</v>
      </c>
      <c r="N14" s="301">
        <v>5297</v>
      </c>
      <c r="O14" s="301">
        <v>5443</v>
      </c>
      <c r="P14" s="317">
        <v>5795.8</v>
      </c>
      <c r="Q14" s="306">
        <v>68081</v>
      </c>
      <c r="R14" s="313">
        <v>5041</v>
      </c>
      <c r="S14" s="301">
        <v>5071</v>
      </c>
      <c r="T14" s="301">
        <v>6259</v>
      </c>
      <c r="U14" s="301">
        <v>6685</v>
      </c>
      <c r="V14" s="301">
        <v>6042</v>
      </c>
      <c r="W14" s="301">
        <v>5786</v>
      </c>
      <c r="X14" s="301">
        <v>6027</v>
      </c>
      <c r="Y14" s="301">
        <v>5816</v>
      </c>
      <c r="Z14" s="306">
        <v>7158</v>
      </c>
      <c r="AA14" s="270">
        <f>SUM(R14:Z14)</f>
        <v>53885</v>
      </c>
      <c r="AB14" s="320">
        <f t="shared" si="0"/>
        <v>4.5417507372342074</v>
      </c>
    </row>
    <row r="15" spans="2:28">
      <c r="B15" s="383"/>
      <c r="C15" s="295">
        <v>-0.2</v>
      </c>
      <c r="D15" s="315">
        <v>-5.2</v>
      </c>
      <c r="E15" s="295" t="s">
        <v>588</v>
      </c>
      <c r="F15" s="295" t="s">
        <v>566</v>
      </c>
      <c r="G15" s="295" t="s">
        <v>589</v>
      </c>
      <c r="H15" s="295" t="s">
        <v>590</v>
      </c>
      <c r="I15" s="315" t="s">
        <v>530</v>
      </c>
      <c r="J15" s="295" t="s">
        <v>591</v>
      </c>
      <c r="K15" s="295">
        <v>-15.6</v>
      </c>
      <c r="L15" s="295">
        <v>-4.7</v>
      </c>
      <c r="M15" s="295"/>
      <c r="N15" s="295">
        <v>-5.7</v>
      </c>
      <c r="O15" s="295">
        <v>-0.9</v>
      </c>
      <c r="P15" s="316">
        <v>-15.1</v>
      </c>
      <c r="Q15" s="303" t="s">
        <v>586</v>
      </c>
      <c r="R15" s="315" t="s">
        <v>494</v>
      </c>
      <c r="S15" s="295" t="s">
        <v>548</v>
      </c>
      <c r="T15" s="295">
        <v>-9.6999999999999993</v>
      </c>
      <c r="U15" s="295">
        <v>-18.3</v>
      </c>
      <c r="V15" s="295">
        <v>-3.9</v>
      </c>
      <c r="W15" s="295">
        <v>-14.4</v>
      </c>
      <c r="X15" s="295">
        <v>-8.6999999999999993</v>
      </c>
      <c r="Y15" s="295" t="s">
        <v>508</v>
      </c>
      <c r="Z15" s="303">
        <v>-19.3</v>
      </c>
      <c r="AA15" s="270"/>
      <c r="AB15" s="320"/>
    </row>
    <row r="16" spans="2:28">
      <c r="B16" s="382" t="s">
        <v>592</v>
      </c>
      <c r="C16" s="301">
        <v>18798</v>
      </c>
      <c r="D16" s="313">
        <v>1667</v>
      </c>
      <c r="E16" s="301">
        <v>1438</v>
      </c>
      <c r="F16" s="301">
        <v>1559</v>
      </c>
      <c r="G16" s="301">
        <v>1667</v>
      </c>
      <c r="H16" s="301">
        <v>1502</v>
      </c>
      <c r="I16" s="313">
        <v>1676</v>
      </c>
      <c r="J16" s="301">
        <v>2311</v>
      </c>
      <c r="K16" s="301">
        <v>1383</v>
      </c>
      <c r="L16" s="301">
        <v>1589</v>
      </c>
      <c r="M16" s="301">
        <f>SUM(D16:L16)</f>
        <v>14792</v>
      </c>
      <c r="N16" s="301">
        <v>1522</v>
      </c>
      <c r="O16" s="301">
        <v>1636</v>
      </c>
      <c r="P16" s="317">
        <v>1748.6</v>
      </c>
      <c r="Q16" s="306">
        <v>19697</v>
      </c>
      <c r="R16" s="313">
        <v>1333</v>
      </c>
      <c r="S16" s="301">
        <v>1720</v>
      </c>
      <c r="T16" s="301">
        <v>1762</v>
      </c>
      <c r="U16" s="301">
        <v>1698</v>
      </c>
      <c r="V16" s="301">
        <v>1378</v>
      </c>
      <c r="W16" s="301">
        <v>1971</v>
      </c>
      <c r="X16" s="301">
        <v>1469</v>
      </c>
      <c r="Y16" s="301">
        <v>1398</v>
      </c>
      <c r="Z16" s="306">
        <v>1866</v>
      </c>
      <c r="AA16" s="270">
        <f>SUM(R16:Z16)</f>
        <v>14595</v>
      </c>
      <c r="AB16" s="320">
        <f t="shared" si="0"/>
        <v>-1.3318009734991887</v>
      </c>
    </row>
    <row r="17" spans="2:28">
      <c r="B17" s="383"/>
      <c r="C17" s="295">
        <v>-7.3</v>
      </c>
      <c r="D17" s="315">
        <v>-13.7</v>
      </c>
      <c r="E17" s="295" t="s">
        <v>593</v>
      </c>
      <c r="F17" s="295" t="s">
        <v>594</v>
      </c>
      <c r="G17" s="295">
        <v>-0.6</v>
      </c>
      <c r="H17" s="295" t="s">
        <v>595</v>
      </c>
      <c r="I17" s="315">
        <v>-1.8</v>
      </c>
      <c r="J17" s="295">
        <v>-55.8</v>
      </c>
      <c r="K17" s="295" t="s">
        <v>565</v>
      </c>
      <c r="L17" s="295">
        <v>-14.9</v>
      </c>
      <c r="M17" s="295"/>
      <c r="N17" s="295" t="s">
        <v>596</v>
      </c>
      <c r="O17" s="295">
        <v>-17.5</v>
      </c>
      <c r="P17" s="316" t="s">
        <v>586</v>
      </c>
      <c r="Q17" s="303">
        <v>-4.8</v>
      </c>
      <c r="R17" s="315" t="s">
        <v>579</v>
      </c>
      <c r="S17" s="295">
        <v>-19.600000000000001</v>
      </c>
      <c r="T17" s="295">
        <v>-13</v>
      </c>
      <c r="U17" s="295">
        <v>-2</v>
      </c>
      <c r="V17" s="295" t="s">
        <v>482</v>
      </c>
      <c r="W17" s="295">
        <v>-17.600000000000001</v>
      </c>
      <c r="X17" s="295" t="s">
        <v>612</v>
      </c>
      <c r="Y17" s="295">
        <v>-1.1000000000000001</v>
      </c>
      <c r="Z17" s="303">
        <v>-17.5</v>
      </c>
      <c r="AA17" s="270"/>
      <c r="AB17" s="320"/>
    </row>
    <row r="18" spans="2:28">
      <c r="B18" s="382" t="s">
        <v>597</v>
      </c>
      <c r="C18" s="301">
        <v>24632</v>
      </c>
      <c r="D18" s="313">
        <v>2193</v>
      </c>
      <c r="E18" s="301">
        <v>2340</v>
      </c>
      <c r="F18" s="301">
        <v>2697</v>
      </c>
      <c r="G18" s="301">
        <v>2497</v>
      </c>
      <c r="H18" s="301">
        <v>2502</v>
      </c>
      <c r="I18" s="313">
        <v>2351</v>
      </c>
      <c r="J18" s="301">
        <v>2570</v>
      </c>
      <c r="K18" s="301">
        <v>2544</v>
      </c>
      <c r="L18" s="301">
        <v>2259</v>
      </c>
      <c r="M18" s="301">
        <f>SUM(D18:L18)</f>
        <v>21953</v>
      </c>
      <c r="N18" s="301">
        <v>2369</v>
      </c>
      <c r="O18" s="301">
        <v>2334</v>
      </c>
      <c r="P18" s="317">
        <v>2369.1</v>
      </c>
      <c r="Q18" s="306">
        <v>29024</v>
      </c>
      <c r="R18" s="313">
        <v>2042</v>
      </c>
      <c r="S18" s="301">
        <v>2199</v>
      </c>
      <c r="T18" s="301">
        <v>2232</v>
      </c>
      <c r="U18" s="301">
        <v>2594</v>
      </c>
      <c r="V18" s="301">
        <v>2206</v>
      </c>
      <c r="W18" s="301">
        <v>2425</v>
      </c>
      <c r="X18" s="301">
        <v>2659</v>
      </c>
      <c r="Y18" s="301">
        <v>2301</v>
      </c>
      <c r="Z18" s="306">
        <v>3025</v>
      </c>
      <c r="AA18" s="270">
        <f>SUM(R18:Z18)</f>
        <v>21683</v>
      </c>
      <c r="AB18" s="320">
        <f t="shared" si="0"/>
        <v>-1.2299002414248621</v>
      </c>
    </row>
    <row r="19" spans="2:28">
      <c r="B19" s="383"/>
      <c r="C19" s="295" t="s">
        <v>457</v>
      </c>
      <c r="D19" s="315">
        <v>-28.2</v>
      </c>
      <c r="E19" s="295">
        <v>-24.6</v>
      </c>
      <c r="F19" s="295">
        <v>-14.2</v>
      </c>
      <c r="G19" s="295">
        <v>-38.1</v>
      </c>
      <c r="H19" s="295">
        <v>-25.4</v>
      </c>
      <c r="I19" s="315" t="s">
        <v>473</v>
      </c>
      <c r="J19" s="295">
        <v>-29.9</v>
      </c>
      <c r="K19" s="295">
        <v>-28.5</v>
      </c>
      <c r="L19" s="295" t="s">
        <v>500</v>
      </c>
      <c r="M19" s="295"/>
      <c r="N19" s="295">
        <v>-21.3</v>
      </c>
      <c r="O19" s="295">
        <v>-20.100000000000001</v>
      </c>
      <c r="P19" s="316">
        <v>-16.100000000000001</v>
      </c>
      <c r="Q19" s="303">
        <v>-17.8</v>
      </c>
      <c r="R19" s="315" t="s">
        <v>566</v>
      </c>
      <c r="S19" s="295" t="s">
        <v>551</v>
      </c>
      <c r="T19" s="295" t="s">
        <v>613</v>
      </c>
      <c r="U19" s="295">
        <v>-3.9</v>
      </c>
      <c r="V19" s="295" t="s">
        <v>515</v>
      </c>
      <c r="W19" s="295">
        <v>-3.2</v>
      </c>
      <c r="X19" s="295">
        <v>-3.5</v>
      </c>
      <c r="Y19" s="295" t="s">
        <v>608</v>
      </c>
      <c r="Z19" s="303">
        <v>-34</v>
      </c>
      <c r="AA19" s="270"/>
      <c r="AB19" s="320"/>
    </row>
    <row r="20" spans="2:28">
      <c r="B20" s="382" t="s">
        <v>598</v>
      </c>
      <c r="C20" s="301">
        <v>12739</v>
      </c>
      <c r="D20" s="315">
        <v>867</v>
      </c>
      <c r="E20" s="301">
        <v>1246</v>
      </c>
      <c r="F20" s="295">
        <v>822</v>
      </c>
      <c r="G20" s="295">
        <v>848</v>
      </c>
      <c r="H20" s="295">
        <v>864</v>
      </c>
      <c r="I20" s="315">
        <v>927</v>
      </c>
      <c r="J20" s="301">
        <v>1008</v>
      </c>
      <c r="K20" s="301">
        <v>1028</v>
      </c>
      <c r="L20" s="295">
        <v>985</v>
      </c>
      <c r="M20" s="295">
        <f>SUM(D20:L20)</f>
        <v>8595</v>
      </c>
      <c r="N20" s="295">
        <v>995</v>
      </c>
      <c r="O20" s="301">
        <v>1042</v>
      </c>
      <c r="P20" s="316">
        <v>976.4</v>
      </c>
      <c r="Q20" s="306">
        <v>11609</v>
      </c>
      <c r="R20" s="315">
        <v>732</v>
      </c>
      <c r="S20" s="301">
        <v>1019</v>
      </c>
      <c r="T20" s="301">
        <v>1069</v>
      </c>
      <c r="U20" s="301">
        <v>1162</v>
      </c>
      <c r="V20" s="301">
        <v>1153</v>
      </c>
      <c r="W20" s="301">
        <v>1099</v>
      </c>
      <c r="X20" s="301">
        <v>1224</v>
      </c>
      <c r="Y20" s="301">
        <v>1118</v>
      </c>
      <c r="Z20" s="306">
        <v>1519</v>
      </c>
      <c r="AA20" s="270">
        <f>SUM(R20:Z20)</f>
        <v>10095</v>
      </c>
      <c r="AB20" s="320">
        <f t="shared" si="0"/>
        <v>17.452006980802793</v>
      </c>
    </row>
    <row r="21" spans="2:28">
      <c r="B21" s="383"/>
      <c r="C21" s="295">
        <v>-13</v>
      </c>
      <c r="D21" s="315" t="s">
        <v>500</v>
      </c>
      <c r="E21" s="295">
        <v>-18.5</v>
      </c>
      <c r="F21" s="295" t="s">
        <v>599</v>
      </c>
      <c r="G21" s="295" t="s">
        <v>600</v>
      </c>
      <c r="H21" s="295" t="s">
        <v>601</v>
      </c>
      <c r="I21" s="315" t="s">
        <v>602</v>
      </c>
      <c r="J21" s="295">
        <v>-3.6</v>
      </c>
      <c r="K21" s="295">
        <v>-11</v>
      </c>
      <c r="L21" s="295">
        <v>-8.1</v>
      </c>
      <c r="M21" s="295"/>
      <c r="N21" s="295">
        <v>-4.5999999999999996</v>
      </c>
      <c r="O21" s="295">
        <v>-9.6</v>
      </c>
      <c r="P21" s="316">
        <v>-9.3000000000000007</v>
      </c>
      <c r="Q21" s="303" t="s">
        <v>603</v>
      </c>
      <c r="R21" s="315" t="s">
        <v>494</v>
      </c>
      <c r="S21" s="295" t="s">
        <v>614</v>
      </c>
      <c r="T21" s="295">
        <v>-30.1</v>
      </c>
      <c r="U21" s="295">
        <v>-37</v>
      </c>
      <c r="V21" s="295">
        <v>-33.5</v>
      </c>
      <c r="W21" s="295">
        <v>-18.5</v>
      </c>
      <c r="X21" s="295">
        <v>-21.4</v>
      </c>
      <c r="Y21" s="295">
        <v>-8.8000000000000007</v>
      </c>
      <c r="Z21" s="303">
        <v>-54.3</v>
      </c>
      <c r="AA21" s="270"/>
      <c r="AB21" s="320"/>
    </row>
    <row r="22" spans="2:28">
      <c r="B22" s="382" t="s">
        <v>604</v>
      </c>
      <c r="C22" s="301">
        <v>53480</v>
      </c>
      <c r="D22" s="313">
        <v>4190</v>
      </c>
      <c r="E22" s="301">
        <v>4208</v>
      </c>
      <c r="F22" s="301">
        <v>4831</v>
      </c>
      <c r="G22" s="301">
        <v>4552</v>
      </c>
      <c r="H22" s="301">
        <v>5116</v>
      </c>
      <c r="I22" s="313">
        <v>5124</v>
      </c>
      <c r="J22" s="301">
        <v>4969</v>
      </c>
      <c r="K22" s="301">
        <v>5049</v>
      </c>
      <c r="L22" s="301">
        <v>4981</v>
      </c>
      <c r="M22" s="301">
        <f>SUM(D22:L22)</f>
        <v>43020</v>
      </c>
      <c r="N22" s="301">
        <v>5232</v>
      </c>
      <c r="O22" s="301">
        <v>5152</v>
      </c>
      <c r="P22" s="314">
        <v>4928</v>
      </c>
      <c r="Q22" s="306">
        <v>58331</v>
      </c>
      <c r="R22" s="313">
        <v>4358</v>
      </c>
      <c r="S22" s="301">
        <v>4735</v>
      </c>
      <c r="T22" s="301">
        <v>5028</v>
      </c>
      <c r="U22" s="301">
        <v>4840</v>
      </c>
      <c r="V22" s="301">
        <v>5237</v>
      </c>
      <c r="W22" s="301">
        <v>4940</v>
      </c>
      <c r="X22" s="301">
        <v>5542</v>
      </c>
      <c r="Y22" s="301">
        <v>5402</v>
      </c>
      <c r="Z22" s="306">
        <v>5932</v>
      </c>
      <c r="AA22" s="270">
        <f>SUM(R22:Z22)</f>
        <v>46014</v>
      </c>
      <c r="AB22" s="320">
        <f t="shared" si="0"/>
        <v>6.9595536959553703</v>
      </c>
    </row>
    <row r="23" spans="2:28">
      <c r="B23" s="383"/>
      <c r="C23" s="295" t="s">
        <v>605</v>
      </c>
      <c r="D23" s="315">
        <v>-11.2</v>
      </c>
      <c r="E23" s="295">
        <v>-4.0999999999999996</v>
      </c>
      <c r="F23" s="295">
        <v>-4.4000000000000004</v>
      </c>
      <c r="G23" s="295">
        <v>-19.8</v>
      </c>
      <c r="H23" s="295">
        <v>-19.8</v>
      </c>
      <c r="I23" s="315">
        <v>-18.8</v>
      </c>
      <c r="J23" s="295">
        <v>-12.5</v>
      </c>
      <c r="K23" s="295">
        <v>-2.1</v>
      </c>
      <c r="L23" s="295">
        <v>-1.3</v>
      </c>
      <c r="M23" s="295"/>
      <c r="N23" s="295">
        <v>-8.3000000000000007</v>
      </c>
      <c r="O23" s="295">
        <v>-4.9000000000000004</v>
      </c>
      <c r="P23" s="316">
        <v>-6.4</v>
      </c>
      <c r="Q23" s="303">
        <v>-9.1</v>
      </c>
      <c r="R23" s="315">
        <v>-4</v>
      </c>
      <c r="S23" s="295">
        <v>-12.5</v>
      </c>
      <c r="T23" s="295">
        <v>-4.0999999999999996</v>
      </c>
      <c r="U23" s="295">
        <v>-6.3</v>
      </c>
      <c r="V23" s="295">
        <v>-2.4</v>
      </c>
      <c r="W23" s="295" t="s">
        <v>567</v>
      </c>
      <c r="X23" s="295">
        <v>-11.5</v>
      </c>
      <c r="Y23" s="295">
        <v>-7</v>
      </c>
      <c r="Z23" s="303">
        <v>-19.100000000000001</v>
      </c>
      <c r="AA23" s="270"/>
      <c r="AB23" s="320"/>
    </row>
    <row r="24" spans="2:28">
      <c r="B24" s="382" t="s">
        <v>606</v>
      </c>
      <c r="C24" s="301">
        <v>17950</v>
      </c>
      <c r="D24" s="313">
        <v>1538</v>
      </c>
      <c r="E24" s="301">
        <v>1475</v>
      </c>
      <c r="F24" s="301">
        <v>1513</v>
      </c>
      <c r="G24" s="301">
        <v>1568</v>
      </c>
      <c r="H24" s="301">
        <v>1678</v>
      </c>
      <c r="I24" s="313">
        <v>1554</v>
      </c>
      <c r="J24" s="301">
        <v>1617</v>
      </c>
      <c r="K24" s="301">
        <v>1636</v>
      </c>
      <c r="L24" s="301">
        <v>1469</v>
      </c>
      <c r="M24" s="301">
        <f>SUM(D24:L24)</f>
        <v>14048</v>
      </c>
      <c r="N24" s="301">
        <v>1513</v>
      </c>
      <c r="O24" s="301">
        <v>1460</v>
      </c>
      <c r="P24" s="314">
        <v>1684</v>
      </c>
      <c r="Q24" s="306">
        <v>18705</v>
      </c>
      <c r="R24" s="313">
        <v>1464</v>
      </c>
      <c r="S24" s="301">
        <v>1596</v>
      </c>
      <c r="T24" s="301">
        <v>1503</v>
      </c>
      <c r="U24" s="301">
        <v>1703</v>
      </c>
      <c r="V24" s="301">
        <v>1616</v>
      </c>
      <c r="W24" s="301">
        <v>1586</v>
      </c>
      <c r="X24" s="301">
        <v>1785</v>
      </c>
      <c r="Y24" s="301">
        <v>1556</v>
      </c>
      <c r="Z24" s="306">
        <v>1726</v>
      </c>
      <c r="AA24" s="270">
        <f>SUM(R24:Z24)</f>
        <v>14535</v>
      </c>
      <c r="AB24" s="320">
        <f t="shared" si="0"/>
        <v>3.4666856492027334</v>
      </c>
    </row>
    <row r="25" spans="2:28">
      <c r="B25" s="383"/>
      <c r="C25" s="295" t="s">
        <v>560</v>
      </c>
      <c r="D25" s="315">
        <v>-5.9</v>
      </c>
      <c r="E25" s="295" t="s">
        <v>513</v>
      </c>
      <c r="F25" s="295" t="s">
        <v>595</v>
      </c>
      <c r="G25" s="295">
        <v>-17.899999999999999</v>
      </c>
      <c r="H25" s="295">
        <v>-24.5</v>
      </c>
      <c r="I25" s="315">
        <v>-8.9</v>
      </c>
      <c r="J25" s="295">
        <v>-13</v>
      </c>
      <c r="K25" s="295">
        <v>-2.1</v>
      </c>
      <c r="L25" s="295" t="s">
        <v>607</v>
      </c>
      <c r="M25" s="295"/>
      <c r="N25" s="295" t="s">
        <v>465</v>
      </c>
      <c r="O25" s="295" t="s">
        <v>453</v>
      </c>
      <c r="P25" s="316">
        <v>-6</v>
      </c>
      <c r="Q25" s="303">
        <v>-4.2</v>
      </c>
      <c r="R25" s="315" t="s">
        <v>477</v>
      </c>
      <c r="S25" s="295">
        <v>-8.1999999999999993</v>
      </c>
      <c r="T25" s="295" t="s">
        <v>590</v>
      </c>
      <c r="U25" s="295">
        <v>-8.6</v>
      </c>
      <c r="V25" s="295" t="s">
        <v>488</v>
      </c>
      <c r="W25" s="295">
        <v>-2</v>
      </c>
      <c r="X25" s="295">
        <v>-10.5</v>
      </c>
      <c r="Y25" s="295" t="s">
        <v>560</v>
      </c>
      <c r="Z25" s="303">
        <v>-17.5</v>
      </c>
      <c r="AA25" s="270"/>
      <c r="AB25" s="319"/>
    </row>
  </sheetData>
  <mergeCells count="15">
    <mergeCell ref="R3:Z3"/>
    <mergeCell ref="R4:Z4"/>
    <mergeCell ref="B18:B19"/>
    <mergeCell ref="B20:B21"/>
    <mergeCell ref="B22:B23"/>
    <mergeCell ref="B24:B25"/>
    <mergeCell ref="B3:Q3"/>
    <mergeCell ref="B4:B5"/>
    <mergeCell ref="D4:Q4"/>
    <mergeCell ref="B6:B7"/>
    <mergeCell ref="B8:B9"/>
    <mergeCell ref="B10:B11"/>
    <mergeCell ref="B12:B13"/>
    <mergeCell ref="B14:B15"/>
    <mergeCell ref="B16:B17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"/>
  <sheetViews>
    <sheetView zoomScale="85" zoomScaleNormal="85" workbookViewId="0">
      <selection activeCell="P21" sqref="P21"/>
    </sheetView>
  </sheetViews>
  <sheetFormatPr defaultRowHeight="16.5"/>
  <cols>
    <col min="2" max="2" width="21" bestFit="1" customWidth="1"/>
  </cols>
  <sheetData>
    <row r="1" spans="1:20" s="5" customFormat="1" ht="17.25">
      <c r="A1" s="1" t="s">
        <v>59</v>
      </c>
      <c r="B1" s="16"/>
      <c r="C1" s="7"/>
      <c r="D1" s="7"/>
      <c r="E1" s="16"/>
      <c r="F1" s="16"/>
    </row>
    <row r="2" spans="1:20" s="5" customFormat="1" ht="17.25">
      <c r="A2" s="3" t="s">
        <v>60</v>
      </c>
      <c r="B2" s="16"/>
      <c r="C2" s="7"/>
      <c r="D2" s="7"/>
      <c r="E2" s="16"/>
      <c r="F2" s="16"/>
    </row>
    <row r="3" spans="1:20" s="11" customFormat="1">
      <c r="K3" s="32" t="s">
        <v>64</v>
      </c>
    </row>
    <row r="5" spans="1:20">
      <c r="B5" s="113"/>
      <c r="C5" s="35" t="s">
        <v>145</v>
      </c>
      <c r="D5" s="30" t="s">
        <v>146</v>
      </c>
      <c r="E5" s="30" t="s">
        <v>147</v>
      </c>
      <c r="F5" s="35" t="s">
        <v>223</v>
      </c>
      <c r="G5" s="30" t="s">
        <v>103</v>
      </c>
      <c r="H5" s="30" t="s">
        <v>39</v>
      </c>
      <c r="I5" s="30" t="s">
        <v>40</v>
      </c>
      <c r="J5" s="30" t="s">
        <v>41</v>
      </c>
      <c r="K5" s="30" t="s">
        <v>42</v>
      </c>
      <c r="L5" s="30" t="s">
        <v>212</v>
      </c>
      <c r="M5" s="30" t="s">
        <v>213</v>
      </c>
      <c r="N5" s="30" t="s">
        <v>214</v>
      </c>
      <c r="O5" s="30" t="s">
        <v>215</v>
      </c>
      <c r="P5" s="30" t="s">
        <v>216</v>
      </c>
      <c r="Q5" s="30" t="s">
        <v>217</v>
      </c>
      <c r="R5" s="30" t="s">
        <v>218</v>
      </c>
      <c r="S5" s="30" t="s">
        <v>219</v>
      </c>
      <c r="T5" s="30" t="s">
        <v>220</v>
      </c>
    </row>
    <row r="6" spans="1:20" ht="18">
      <c r="B6" s="127" t="s">
        <v>43</v>
      </c>
      <c r="C6" s="128">
        <v>103.7</v>
      </c>
      <c r="D6" s="128">
        <v>100.8</v>
      </c>
      <c r="E6" s="128">
        <v>100</v>
      </c>
      <c r="F6" s="128">
        <v>101.8</v>
      </c>
      <c r="G6" s="128">
        <v>100.7</v>
      </c>
      <c r="H6" s="31">
        <v>88.2</v>
      </c>
      <c r="I6" s="31">
        <v>91.2</v>
      </c>
      <c r="J6" s="31">
        <v>95.2</v>
      </c>
      <c r="K6" s="31">
        <v>93.4</v>
      </c>
      <c r="L6" s="127">
        <v>93.8</v>
      </c>
      <c r="M6" s="127">
        <v>101.8</v>
      </c>
      <c r="N6" s="127">
        <v>108.7</v>
      </c>
      <c r="O6" s="127">
        <v>110.8</v>
      </c>
      <c r="P6" s="127">
        <v>111.4</v>
      </c>
      <c r="Q6" s="127">
        <v>110.1</v>
      </c>
      <c r="R6" s="127"/>
      <c r="S6" s="127"/>
      <c r="T6" s="127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FA238-900F-49DD-8A9B-FCC0C759B0EE}">
  <dimension ref="C4:AH57"/>
  <sheetViews>
    <sheetView topLeftCell="A11" zoomScale="80" zoomScaleNormal="80" workbookViewId="0">
      <selection activeCell="C25" sqref="C25"/>
    </sheetView>
  </sheetViews>
  <sheetFormatPr defaultRowHeight="16.5"/>
  <cols>
    <col min="3" max="4" width="13" bestFit="1" customWidth="1"/>
    <col min="16" max="16" width="13.5" customWidth="1"/>
  </cols>
  <sheetData>
    <row r="4" spans="3:25">
      <c r="C4" s="367" t="s">
        <v>160</v>
      </c>
      <c r="D4" s="367"/>
      <c r="E4" s="35" t="s">
        <v>393</v>
      </c>
      <c r="F4" s="271" t="s">
        <v>61</v>
      </c>
      <c r="G4" s="271" t="s">
        <v>62</v>
      </c>
      <c r="H4" s="271" t="s">
        <v>238</v>
      </c>
      <c r="I4" s="271" t="s">
        <v>239</v>
      </c>
      <c r="J4" s="35" t="s">
        <v>240</v>
      </c>
      <c r="K4" s="278" t="s">
        <v>391</v>
      </c>
      <c r="L4" s="278" t="s">
        <v>27</v>
      </c>
      <c r="M4" s="278" t="s">
        <v>28</v>
      </c>
      <c r="N4" s="278" t="s">
        <v>29</v>
      </c>
      <c r="O4" s="278" t="s">
        <v>30</v>
      </c>
      <c r="P4" s="278" t="s">
        <v>31</v>
      </c>
      <c r="Q4" s="35" t="s">
        <v>104</v>
      </c>
      <c r="R4" s="30" t="s">
        <v>61</v>
      </c>
      <c r="S4" s="30" t="s">
        <v>22</v>
      </c>
      <c r="T4" s="30" t="s">
        <v>23</v>
      </c>
      <c r="U4" s="30" t="s">
        <v>24</v>
      </c>
      <c r="V4" s="30" t="s">
        <v>25</v>
      </c>
      <c r="W4" s="30" t="s">
        <v>26</v>
      </c>
      <c r="X4" s="30" t="s">
        <v>27</v>
      </c>
      <c r="Y4" s="30" t="s">
        <v>28</v>
      </c>
    </row>
    <row r="5" spans="3:25">
      <c r="C5" s="388" t="s">
        <v>155</v>
      </c>
      <c r="D5" s="389"/>
      <c r="E5" s="91">
        <v>103.9</v>
      </c>
      <c r="F5" s="91">
        <v>100.3</v>
      </c>
      <c r="G5" s="91">
        <v>101.8</v>
      </c>
      <c r="H5" s="91">
        <v>101.5</v>
      </c>
      <c r="I5" s="91">
        <v>101.7</v>
      </c>
      <c r="J5" s="279">
        <v>101.8</v>
      </c>
      <c r="K5" s="279">
        <v>102</v>
      </c>
      <c r="L5" s="279">
        <v>102.3</v>
      </c>
      <c r="M5" s="279">
        <v>103</v>
      </c>
      <c r="N5" s="91">
        <v>102.3</v>
      </c>
      <c r="O5" s="91">
        <v>101.6</v>
      </c>
      <c r="P5" s="91">
        <v>102.1</v>
      </c>
      <c r="Q5" s="91">
        <v>101.5</v>
      </c>
      <c r="R5" s="91">
        <v>103.3</v>
      </c>
      <c r="S5" s="91">
        <v>102.3</v>
      </c>
      <c r="T5" s="91">
        <v>101.3</v>
      </c>
      <c r="U5" s="91">
        <v>101.3</v>
      </c>
      <c r="V5" s="279">
        <v>101.9</v>
      </c>
      <c r="W5" s="279">
        <v>104.7</v>
      </c>
      <c r="X5" s="279">
        <v>102.2</v>
      </c>
      <c r="Y5" s="279">
        <v>102.1</v>
      </c>
    </row>
    <row r="6" spans="3:25">
      <c r="C6" s="388" t="s">
        <v>156</v>
      </c>
      <c r="D6" s="389"/>
      <c r="E6" s="91">
        <v>100.5</v>
      </c>
      <c r="F6" s="91">
        <v>95.6</v>
      </c>
      <c r="G6" s="91">
        <v>103</v>
      </c>
      <c r="H6" s="91">
        <v>100.5</v>
      </c>
      <c r="I6" s="91">
        <v>104.6</v>
      </c>
      <c r="J6" s="279">
        <v>100.8</v>
      </c>
      <c r="K6" s="279">
        <v>100.3</v>
      </c>
      <c r="L6" s="279">
        <v>99.7</v>
      </c>
      <c r="M6" s="279">
        <v>103.9</v>
      </c>
      <c r="N6" s="91">
        <v>103.5</v>
      </c>
      <c r="O6" s="91">
        <v>104.7</v>
      </c>
      <c r="P6" s="91">
        <v>105.8</v>
      </c>
      <c r="Q6" s="91">
        <v>100.7</v>
      </c>
      <c r="R6" s="91">
        <v>93.9</v>
      </c>
      <c r="S6" s="91">
        <v>103.7</v>
      </c>
      <c r="T6" s="91">
        <v>100.4</v>
      </c>
      <c r="U6" s="91">
        <v>104.4</v>
      </c>
      <c r="V6" s="279">
        <v>101.1</v>
      </c>
      <c r="W6" s="279">
        <v>102.8</v>
      </c>
      <c r="X6" s="279">
        <v>99.3</v>
      </c>
      <c r="Y6" s="279">
        <v>106.2</v>
      </c>
    </row>
    <row r="8" spans="3:25">
      <c r="C8" s="367"/>
      <c r="D8" s="367"/>
      <c r="E8" s="35" t="s">
        <v>104</v>
      </c>
      <c r="F8" s="30" t="s">
        <v>61</v>
      </c>
      <c r="G8" s="30" t="s">
        <v>22</v>
      </c>
      <c r="H8" s="30" t="s">
        <v>23</v>
      </c>
      <c r="I8" s="30" t="s">
        <v>24</v>
      </c>
      <c r="J8" s="30" t="s">
        <v>25</v>
      </c>
      <c r="K8" s="30" t="s">
        <v>26</v>
      </c>
      <c r="L8" s="30" t="s">
        <v>27</v>
      </c>
      <c r="M8" s="30" t="s">
        <v>28</v>
      </c>
      <c r="O8" s="30" t="s">
        <v>402</v>
      </c>
    </row>
    <row r="9" spans="3:25">
      <c r="C9" s="367" t="s">
        <v>392</v>
      </c>
      <c r="D9" s="367"/>
      <c r="E9" s="20">
        <f>(Q5-P5)/P5*100</f>
        <v>-0.58765915768853505</v>
      </c>
      <c r="F9" s="20">
        <f t="shared" ref="F9:L9" si="0">(R5-Q5)/Q5*100</f>
        <v>1.7733990147783225</v>
      </c>
      <c r="G9" s="20">
        <f t="shared" si="0"/>
        <v>-0.9680542110358179</v>
      </c>
      <c r="H9" s="20">
        <f t="shared" si="0"/>
        <v>-0.97751710654936463</v>
      </c>
      <c r="I9" s="20">
        <f t="shared" si="0"/>
        <v>0</v>
      </c>
      <c r="J9" s="20">
        <f t="shared" si="0"/>
        <v>0.59230009871669154</v>
      </c>
      <c r="K9" s="20">
        <f t="shared" si="0"/>
        <v>2.7477919528949921</v>
      </c>
      <c r="L9" s="20">
        <f t="shared" si="0"/>
        <v>-2.3877745940783188</v>
      </c>
      <c r="M9" s="20">
        <f>(Y5-X5)/X5*100</f>
        <v>-9.7847358121339073E-2</v>
      </c>
      <c r="O9" s="21"/>
    </row>
    <row r="10" spans="3:25">
      <c r="C10" s="367" t="s">
        <v>394</v>
      </c>
      <c r="D10" s="367"/>
      <c r="E10" s="20">
        <f>(Q6-E6)/E6*100</f>
        <v>0.19900497512438092</v>
      </c>
      <c r="F10" s="20">
        <f>(R6-F6)/F6*100</f>
        <v>-1.7782426778242562</v>
      </c>
      <c r="G10" s="20">
        <f t="shared" ref="G10:L10" si="1">(S6-G6)/G6*100</f>
        <v>0.6796116504854397</v>
      </c>
      <c r="H10" s="20">
        <f t="shared" si="1"/>
        <v>-9.9502487562183384E-2</v>
      </c>
      <c r="I10" s="20">
        <f t="shared" si="1"/>
        <v>-0.19120458891012299</v>
      </c>
      <c r="J10" s="20">
        <f t="shared" si="1"/>
        <v>0.29761904761904484</v>
      </c>
      <c r="K10" s="20">
        <f t="shared" si="1"/>
        <v>2.4925224327018944</v>
      </c>
      <c r="L10" s="20">
        <f t="shared" si="1"/>
        <v>-0.40120361083250322</v>
      </c>
      <c r="M10" s="20">
        <f>(Y6-M6)/M6*100</f>
        <v>2.2136669874879664</v>
      </c>
      <c r="O10" s="21">
        <v>105.5</v>
      </c>
    </row>
    <row r="11" spans="3:25">
      <c r="O11" s="321">
        <f>(M6-O10)/O10*100</f>
        <v>-1.516587677725113</v>
      </c>
    </row>
    <row r="25" spans="3:34">
      <c r="C25" s="150" t="s">
        <v>640</v>
      </c>
    </row>
    <row r="27" spans="3:34">
      <c r="C27" s="367" t="s">
        <v>159</v>
      </c>
      <c r="D27" s="367"/>
      <c r="E27" s="35" t="s">
        <v>393</v>
      </c>
      <c r="F27" s="272" t="s">
        <v>61</v>
      </c>
      <c r="G27" s="272" t="s">
        <v>62</v>
      </c>
      <c r="H27" s="272" t="s">
        <v>238</v>
      </c>
      <c r="I27" s="272" t="s">
        <v>239</v>
      </c>
      <c r="J27" s="35" t="s">
        <v>240</v>
      </c>
      <c r="K27" s="278" t="s">
        <v>391</v>
      </c>
      <c r="L27" s="278" t="s">
        <v>27</v>
      </c>
      <c r="M27" s="278" t="s">
        <v>28</v>
      </c>
      <c r="N27" s="278" t="s">
        <v>29</v>
      </c>
      <c r="O27" s="278" t="s">
        <v>30</v>
      </c>
      <c r="P27" s="278" t="s">
        <v>31</v>
      </c>
      <c r="Q27" s="35" t="s">
        <v>104</v>
      </c>
      <c r="R27" s="30" t="s">
        <v>61</v>
      </c>
      <c r="S27" s="30" t="s">
        <v>22</v>
      </c>
      <c r="T27" s="30" t="s">
        <v>23</v>
      </c>
      <c r="U27" s="30" t="s">
        <v>24</v>
      </c>
      <c r="V27" s="30" t="s">
        <v>25</v>
      </c>
      <c r="W27" s="30" t="s">
        <v>26</v>
      </c>
      <c r="X27" s="30" t="s">
        <v>27</v>
      </c>
      <c r="Y27" s="30" t="s">
        <v>28</v>
      </c>
      <c r="Z27" s="30" t="s">
        <v>29</v>
      </c>
      <c r="AA27" s="30" t="s">
        <v>30</v>
      </c>
      <c r="AB27" s="30" t="s">
        <v>31</v>
      </c>
      <c r="AC27" s="35" t="s">
        <v>628</v>
      </c>
      <c r="AD27" s="30" t="s">
        <v>61</v>
      </c>
      <c r="AE27" s="30" t="s">
        <v>22</v>
      </c>
      <c r="AF27" s="30" t="s">
        <v>23</v>
      </c>
      <c r="AG27" s="30" t="s">
        <v>24</v>
      </c>
      <c r="AH27" s="30" t="s">
        <v>25</v>
      </c>
    </row>
    <row r="28" spans="3:34">
      <c r="C28" s="388" t="s">
        <v>155</v>
      </c>
      <c r="D28" s="389"/>
      <c r="E28" s="280">
        <v>94.4</v>
      </c>
      <c r="F28" s="280">
        <v>88.2</v>
      </c>
      <c r="G28" s="280">
        <v>94.3</v>
      </c>
      <c r="H28" s="280">
        <v>94.4</v>
      </c>
      <c r="I28" s="280">
        <v>95</v>
      </c>
      <c r="J28" s="280">
        <v>94.4</v>
      </c>
      <c r="K28" s="280">
        <v>93.9</v>
      </c>
      <c r="L28" s="280">
        <v>95.9</v>
      </c>
      <c r="M28" s="280">
        <v>96</v>
      </c>
      <c r="N28" s="280">
        <v>95</v>
      </c>
      <c r="O28" s="280">
        <v>94.8</v>
      </c>
      <c r="P28" s="280">
        <v>94.6</v>
      </c>
      <c r="Q28" s="280">
        <v>95</v>
      </c>
      <c r="R28" s="280">
        <v>91.4</v>
      </c>
      <c r="S28" s="280">
        <v>93.9</v>
      </c>
      <c r="T28" s="280">
        <v>93.2</v>
      </c>
      <c r="U28" s="279">
        <v>93.2</v>
      </c>
      <c r="V28" s="280">
        <v>93.4</v>
      </c>
      <c r="W28" s="280">
        <v>94.7</v>
      </c>
      <c r="X28" s="280">
        <v>89.9</v>
      </c>
      <c r="Y28" s="280">
        <v>91.1</v>
      </c>
      <c r="Z28">
        <v>103.2</v>
      </c>
      <c r="AA28">
        <v>92.1</v>
      </c>
      <c r="AB28">
        <v>92.9</v>
      </c>
      <c r="AC28">
        <v>92.8</v>
      </c>
      <c r="AD28">
        <v>97.8</v>
      </c>
      <c r="AE28">
        <v>93.1</v>
      </c>
      <c r="AF28">
        <v>94.1</v>
      </c>
      <c r="AG28">
        <v>94.1</v>
      </c>
      <c r="AH28">
        <v>94.7</v>
      </c>
    </row>
    <row r="29" spans="3:34">
      <c r="C29" s="388" t="s">
        <v>156</v>
      </c>
      <c r="D29" s="389"/>
      <c r="E29" s="280">
        <v>96.6</v>
      </c>
      <c r="F29" s="280">
        <v>94.6</v>
      </c>
      <c r="G29" s="280">
        <v>90.2</v>
      </c>
      <c r="H29" s="280">
        <v>88.8</v>
      </c>
      <c r="I29" s="280">
        <v>94.9</v>
      </c>
      <c r="J29" s="280">
        <v>91.4</v>
      </c>
      <c r="K29" s="280">
        <v>92.1</v>
      </c>
      <c r="L29" s="280">
        <v>98.7</v>
      </c>
      <c r="M29" s="280">
        <v>105</v>
      </c>
      <c r="N29" s="280">
        <v>90.4</v>
      </c>
      <c r="O29" s="280">
        <v>92.5</v>
      </c>
      <c r="P29" s="280">
        <v>94.4</v>
      </c>
      <c r="Q29" s="91">
        <v>108.3</v>
      </c>
      <c r="R29" s="91">
        <v>80.3</v>
      </c>
      <c r="S29" s="91">
        <v>90.6</v>
      </c>
      <c r="T29" s="91">
        <v>88.4</v>
      </c>
      <c r="U29" s="91">
        <v>94.2</v>
      </c>
      <c r="V29" s="91">
        <v>90.9</v>
      </c>
      <c r="W29" s="91">
        <v>93.6</v>
      </c>
      <c r="X29" s="91">
        <v>92.9</v>
      </c>
      <c r="Y29" s="91">
        <v>101.3</v>
      </c>
      <c r="Z29" s="91">
        <v>96.3</v>
      </c>
      <c r="AA29" s="91">
        <v>90.5</v>
      </c>
      <c r="AB29" s="91">
        <v>93</v>
      </c>
      <c r="AC29" s="91">
        <v>93.7</v>
      </c>
      <c r="AD29" s="91">
        <v>97.4</v>
      </c>
      <c r="AE29" s="91">
        <v>89.5</v>
      </c>
      <c r="AF29" s="91">
        <v>89.2</v>
      </c>
      <c r="AG29" s="91">
        <v>95.5</v>
      </c>
      <c r="AH29" s="91">
        <v>91.8</v>
      </c>
    </row>
    <row r="30" spans="3:34"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</row>
    <row r="31" spans="3:34">
      <c r="C31" s="367"/>
      <c r="D31" s="367"/>
      <c r="E31" s="35" t="s">
        <v>104</v>
      </c>
      <c r="F31" s="30" t="s">
        <v>61</v>
      </c>
      <c r="G31" s="30" t="s">
        <v>22</v>
      </c>
      <c r="H31" s="30" t="s">
        <v>23</v>
      </c>
      <c r="I31" s="30" t="s">
        <v>24</v>
      </c>
      <c r="J31" s="30" t="s">
        <v>25</v>
      </c>
      <c r="K31" s="30" t="s">
        <v>26</v>
      </c>
      <c r="L31" s="30" t="s">
        <v>27</v>
      </c>
      <c r="M31" s="30" t="s">
        <v>28</v>
      </c>
      <c r="N31" s="278" t="s">
        <v>29</v>
      </c>
      <c r="O31" s="278" t="s">
        <v>30</v>
      </c>
      <c r="P31" s="278" t="s">
        <v>31</v>
      </c>
      <c r="Q31" s="35" t="s">
        <v>628</v>
      </c>
      <c r="R31" s="30" t="s">
        <v>61</v>
      </c>
      <c r="S31" s="30" t="s">
        <v>22</v>
      </c>
      <c r="T31" s="30" t="s">
        <v>23</v>
      </c>
      <c r="U31" s="30" t="s">
        <v>24</v>
      </c>
      <c r="V31" s="30" t="s">
        <v>25</v>
      </c>
      <c r="W31" s="150"/>
      <c r="X31" s="150"/>
      <c r="Y31" s="150"/>
    </row>
    <row r="32" spans="3:34">
      <c r="C32" s="367" t="s">
        <v>392</v>
      </c>
      <c r="D32" s="367"/>
      <c r="E32" s="20">
        <f>(Q28-P28)/P28*100</f>
        <v>0.42283298097252187</v>
      </c>
      <c r="F32" s="20">
        <f t="shared" ref="F32" si="2">(R28-Q28)/Q28*100</f>
        <v>-3.7894736842105203</v>
      </c>
      <c r="G32" s="20">
        <f>(S28-R28)/R28*100</f>
        <v>2.7352297592997812</v>
      </c>
      <c r="H32" s="20">
        <f t="shared" ref="H32" si="3">(T28-S28)/S28*100</f>
        <v>-0.74547390841320849</v>
      </c>
      <c r="I32" s="20">
        <f>(U28-T28)/T28*100</f>
        <v>0</v>
      </c>
      <c r="J32" s="20">
        <f>(V28-U28)/U28*100</f>
        <v>0.21459227467811462</v>
      </c>
      <c r="K32" s="20">
        <f>(W28-V28)/V28*100</f>
        <v>1.3918629550321167</v>
      </c>
      <c r="L32" s="20">
        <f t="shared" ref="L32" si="4">(X28-W28)/W28*100</f>
        <v>-5.0686378035902822</v>
      </c>
      <c r="M32" s="20">
        <f>(Y28-X28)/X28*100</f>
        <v>1.334816462736361</v>
      </c>
      <c r="N32" s="20">
        <f t="shared" ref="N32" si="5">(Z28-Y28)/Y28*100</f>
        <v>13.282107574094413</v>
      </c>
      <c r="O32" s="20">
        <f t="shared" ref="O32:Q32" si="6">(AA28-Z28)/Z28*100</f>
        <v>-10.75581395348838</v>
      </c>
      <c r="P32" s="20">
        <f t="shared" si="6"/>
        <v>0.86862106406081585</v>
      </c>
      <c r="Q32" s="20">
        <f t="shared" si="6"/>
        <v>-0.10764262648009527</v>
      </c>
      <c r="R32" s="20">
        <f t="shared" ref="R32:T32" si="7">(AD28-AC28)/AC28*100</f>
        <v>5.3879310344827589</v>
      </c>
      <c r="S32" s="20">
        <f t="shared" si="7"/>
        <v>-4.8057259713701468</v>
      </c>
      <c r="T32" s="20">
        <f t="shared" si="7"/>
        <v>1.0741138560687433</v>
      </c>
      <c r="U32" s="20">
        <f t="shared" ref="U32:V32" si="8">(AG28-AF28)/AF28*100</f>
        <v>0</v>
      </c>
      <c r="V32" s="20">
        <f t="shared" si="8"/>
        <v>0.6376195536663215</v>
      </c>
      <c r="W32" s="150"/>
      <c r="X32" s="150"/>
      <c r="Y32" s="150"/>
    </row>
    <row r="33" spans="3:25">
      <c r="C33" s="367" t="s">
        <v>394</v>
      </c>
      <c r="D33" s="367"/>
      <c r="E33" s="20">
        <f>(Q29-E29)/E29*100</f>
        <v>12.111801242236028</v>
      </c>
      <c r="F33" s="20">
        <f t="shared" ref="F33" si="9">(R29-F29)/F29*100</f>
        <v>-15.11627906976744</v>
      </c>
      <c r="G33" s="20">
        <f t="shared" ref="G33" si="10">(S29-G29)/G29*100</f>
        <v>0.44345898004433643</v>
      </c>
      <c r="H33" s="20">
        <f t="shared" ref="H33" si="11">(T29-H29)/H29*100</f>
        <v>-0.45045045045044091</v>
      </c>
      <c r="I33" s="20">
        <f>(U29-I29)/I29*100</f>
        <v>-0.7376185458377269</v>
      </c>
      <c r="J33" s="20">
        <f t="shared" ref="J33" si="12">(V29-J29)/J29*100</f>
        <v>-0.54704595185995619</v>
      </c>
      <c r="K33" s="20">
        <f t="shared" ref="K33" si="13">(W29-K29)/K29*100</f>
        <v>1.6286644951140066</v>
      </c>
      <c r="L33" s="20">
        <f>(X29-L29)/L29*100</f>
        <v>-5.8763931104356608</v>
      </c>
      <c r="M33" s="20">
        <f>(Y29-M29)/M29*100</f>
        <v>-3.5238095238095264</v>
      </c>
      <c r="N33" s="20">
        <f t="shared" ref="N33:P33" si="14">(Z29-N29)/N29*100</f>
        <v>6.5265486725663626</v>
      </c>
      <c r="O33" s="20">
        <f t="shared" si="14"/>
        <v>-2.1621621621621623</v>
      </c>
      <c r="P33" s="20">
        <f t="shared" si="14"/>
        <v>-1.4830508474576332</v>
      </c>
      <c r="Q33" s="20">
        <f t="shared" ref="Q33:S33" si="15">(AC29-Q29)/Q29*100</f>
        <v>-13.481071098799626</v>
      </c>
      <c r="R33" s="20">
        <f t="shared" si="15"/>
        <v>21.295143212951441</v>
      </c>
      <c r="S33" s="20">
        <f t="shared" si="15"/>
        <v>-1.2141280353200823</v>
      </c>
      <c r="T33" s="20">
        <f t="shared" ref="T33:V33" si="16">(AF29-T29)/T29*100</f>
        <v>0.90497737556560764</v>
      </c>
      <c r="U33" s="20">
        <f t="shared" si="16"/>
        <v>1.3800424628450076</v>
      </c>
      <c r="V33" s="20">
        <f t="shared" si="16"/>
        <v>0.99009900990098076</v>
      </c>
      <c r="W33" s="150"/>
      <c r="X33" s="150"/>
      <c r="Y33" s="150"/>
    </row>
    <row r="34" spans="3:25">
      <c r="O34" s="18"/>
    </row>
    <row r="36" spans="3:25">
      <c r="P36" s="150" t="s">
        <v>629</v>
      </c>
      <c r="Q36" s="150" t="s">
        <v>630</v>
      </c>
      <c r="R36" s="150" t="s">
        <v>631</v>
      </c>
      <c r="S36" s="150" t="s">
        <v>632</v>
      </c>
      <c r="T36" s="150" t="s">
        <v>633</v>
      </c>
      <c r="U36" s="150" t="s">
        <v>634</v>
      </c>
      <c r="V36" s="150" t="s">
        <v>635</v>
      </c>
    </row>
    <row r="37" spans="3:25">
      <c r="P37" s="150" t="s">
        <v>636</v>
      </c>
      <c r="Q37" s="32">
        <v>-0.23</v>
      </c>
      <c r="R37" s="150">
        <v>-0.17</v>
      </c>
      <c r="S37" s="150">
        <v>-0.8</v>
      </c>
      <c r="T37" s="150">
        <v>1.1299999999999999</v>
      </c>
      <c r="U37" s="150">
        <v>0.17</v>
      </c>
      <c r="V37" s="150">
        <v>0.56999999999999995</v>
      </c>
    </row>
    <row r="38" spans="3:25">
      <c r="P38" s="150" t="s">
        <v>637</v>
      </c>
      <c r="Q38" s="150">
        <v>-0.87</v>
      </c>
      <c r="R38" s="150">
        <v>-0.56999999999999995</v>
      </c>
      <c r="S38" s="150">
        <v>-2.6</v>
      </c>
      <c r="T38" s="150">
        <v>0.93</v>
      </c>
      <c r="U38" s="150">
        <v>2.2000000000000002</v>
      </c>
      <c r="V38" s="150">
        <v>1.1000000000000001</v>
      </c>
    </row>
    <row r="55" spans="16:16">
      <c r="P55" t="s">
        <v>638</v>
      </c>
    </row>
    <row r="56" spans="16:16" ht="60">
      <c r="P56" s="326" t="s">
        <v>639</v>
      </c>
    </row>
    <row r="57" spans="16:16">
      <c r="P57" t="s">
        <v>640</v>
      </c>
    </row>
  </sheetData>
  <mergeCells count="12">
    <mergeCell ref="C4:D4"/>
    <mergeCell ref="C8:D8"/>
    <mergeCell ref="C9:D9"/>
    <mergeCell ref="C10:D10"/>
    <mergeCell ref="C5:D5"/>
    <mergeCell ref="C6:D6"/>
    <mergeCell ref="C33:D33"/>
    <mergeCell ref="C27:D27"/>
    <mergeCell ref="C28:D28"/>
    <mergeCell ref="C29:D29"/>
    <mergeCell ref="C31:D31"/>
    <mergeCell ref="C32:D32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4"/>
  <sheetViews>
    <sheetView topLeftCell="A45" zoomScale="90" zoomScaleNormal="90" workbookViewId="0">
      <selection activeCell="H66" sqref="H66"/>
    </sheetView>
  </sheetViews>
  <sheetFormatPr defaultRowHeight="16.5"/>
  <cols>
    <col min="2" max="2" width="15.125" bestFit="1" customWidth="1"/>
    <col min="3" max="3" width="21" bestFit="1" customWidth="1"/>
    <col min="4" max="4" width="9.25" bestFit="1" customWidth="1"/>
    <col min="5" max="5" width="9.25" style="89" bestFit="1" customWidth="1"/>
    <col min="6" max="6" width="13" style="89" bestFit="1" customWidth="1"/>
    <col min="7" max="7" width="9.25" style="89" bestFit="1" customWidth="1"/>
    <col min="8" max="12" width="9.25" bestFit="1" customWidth="1"/>
    <col min="13" max="13" width="10" bestFit="1" customWidth="1"/>
    <col min="14" max="15" width="10.75" bestFit="1" customWidth="1"/>
    <col min="16" max="16" width="10" bestFit="1" customWidth="1"/>
    <col min="17" max="18" width="10.75" bestFit="1" customWidth="1"/>
    <col min="19" max="19" width="11" bestFit="1" customWidth="1"/>
    <col min="20" max="21" width="10.625" bestFit="1" customWidth="1"/>
    <col min="22" max="22" width="9.875" bestFit="1" customWidth="1"/>
    <col min="23" max="23" width="10.625" bestFit="1" customWidth="1"/>
    <col min="24" max="24" width="9.375" bestFit="1" customWidth="1"/>
  </cols>
  <sheetData>
    <row r="1" spans="1:16" s="5" customFormat="1" ht="17.25">
      <c r="A1" s="1" t="s">
        <v>199</v>
      </c>
      <c r="B1" s="16"/>
      <c r="C1" s="7"/>
      <c r="D1" s="7"/>
      <c r="E1" s="7"/>
      <c r="F1" s="7"/>
      <c r="G1" s="7"/>
      <c r="H1" s="16"/>
      <c r="I1" s="16"/>
    </row>
    <row r="2" spans="1:16" s="5" customFormat="1" ht="17.25">
      <c r="A2" s="3" t="s">
        <v>343</v>
      </c>
      <c r="B2" s="16"/>
      <c r="C2" s="7"/>
      <c r="D2" s="7"/>
      <c r="E2" s="7"/>
      <c r="F2" s="7"/>
      <c r="G2" s="7"/>
      <c r="H2" s="16"/>
      <c r="I2" s="16"/>
    </row>
    <row r="3" spans="1:16" s="5" customFormat="1" ht="17.25">
      <c r="A3" s="3"/>
      <c r="B3" s="16"/>
      <c r="C3" s="7"/>
      <c r="D3" s="7"/>
      <c r="E3" s="7"/>
      <c r="F3" s="7"/>
      <c r="G3" s="7"/>
      <c r="H3" s="16"/>
      <c r="I3" s="16"/>
    </row>
    <row r="4" spans="1:16" ht="17.25">
      <c r="F4" s="39" t="s">
        <v>346</v>
      </c>
      <c r="G4" s="97" t="s">
        <v>11</v>
      </c>
      <c r="H4" s="97" t="s">
        <v>12</v>
      </c>
      <c r="I4" s="97" t="s">
        <v>13</v>
      </c>
      <c r="J4" s="97" t="s">
        <v>14</v>
      </c>
      <c r="K4" s="97" t="s">
        <v>15</v>
      </c>
      <c r="L4" s="97" t="s">
        <v>16</v>
      </c>
      <c r="M4" s="97" t="s">
        <v>17</v>
      </c>
      <c r="N4" s="97" t="s">
        <v>84</v>
      </c>
      <c r="O4" s="97" t="s">
        <v>245</v>
      </c>
      <c r="P4" s="97" t="s">
        <v>378</v>
      </c>
    </row>
    <row r="5" spans="1:16" s="89" customFormat="1">
      <c r="C5" s="98"/>
      <c r="D5" s="96"/>
      <c r="E5" s="96"/>
      <c r="F5" s="140" t="s">
        <v>155</v>
      </c>
      <c r="G5" s="144">
        <v>104.9</v>
      </c>
      <c r="H5" s="144">
        <v>103.5</v>
      </c>
      <c r="I5" s="144">
        <v>104.3</v>
      </c>
      <c r="J5" s="144">
        <v>102</v>
      </c>
      <c r="K5" s="144">
        <v>101.7</v>
      </c>
      <c r="L5" s="144">
        <v>102.4</v>
      </c>
      <c r="M5" s="144">
        <v>102</v>
      </c>
      <c r="N5" s="144">
        <v>102.4</v>
      </c>
      <c r="O5" s="144">
        <v>101.5</v>
      </c>
      <c r="P5" s="144">
        <v>103</v>
      </c>
    </row>
    <row r="6" spans="1:16">
      <c r="F6" s="140" t="s">
        <v>156</v>
      </c>
      <c r="G6" s="144">
        <v>105.3</v>
      </c>
      <c r="H6" s="144">
        <v>102.8</v>
      </c>
      <c r="I6" s="144">
        <v>106.8</v>
      </c>
      <c r="J6" s="144">
        <v>99.7</v>
      </c>
      <c r="K6" s="144">
        <v>102</v>
      </c>
      <c r="L6" s="144">
        <v>101.3</v>
      </c>
      <c r="M6" s="144">
        <v>104.7</v>
      </c>
      <c r="N6" s="144">
        <v>99.4</v>
      </c>
      <c r="O6" s="144">
        <v>102</v>
      </c>
      <c r="P6" s="144">
        <v>102.8</v>
      </c>
    </row>
    <row r="9" spans="1:16" ht="17.25">
      <c r="B9" s="367" t="s">
        <v>160</v>
      </c>
      <c r="C9" s="367"/>
      <c r="D9" s="97" t="s">
        <v>154</v>
      </c>
      <c r="E9" s="97" t="s">
        <v>11</v>
      </c>
      <c r="F9" s="97" t="s">
        <v>12</v>
      </c>
      <c r="G9" s="97" t="s">
        <v>13</v>
      </c>
      <c r="H9" s="97" t="s">
        <v>14</v>
      </c>
      <c r="I9" s="97" t="s">
        <v>15</v>
      </c>
      <c r="J9" s="97" t="s">
        <v>16</v>
      </c>
      <c r="K9" s="97" t="s">
        <v>17</v>
      </c>
      <c r="L9" s="97" t="s">
        <v>84</v>
      </c>
      <c r="M9" s="97" t="s">
        <v>245</v>
      </c>
      <c r="N9" s="97" t="s">
        <v>377</v>
      </c>
    </row>
    <row r="10" spans="1:16">
      <c r="B10" s="21" t="s">
        <v>155</v>
      </c>
      <c r="C10" s="87" t="s">
        <v>157</v>
      </c>
      <c r="D10" s="20">
        <v>-1.1352885525070981</v>
      </c>
      <c r="E10" s="20">
        <v>-0.37986704653370512</v>
      </c>
      <c r="F10" s="20">
        <v>-2.9990627928772282</v>
      </c>
      <c r="G10" s="20">
        <v>-0.8555133079847963</v>
      </c>
      <c r="H10" s="20">
        <v>-2.3923444976076556</v>
      </c>
      <c r="I10" s="20">
        <f>(K5-J5)/J5*100</f>
        <v>-0.29411764705882076</v>
      </c>
      <c r="J10" s="20">
        <f t="shared" ref="J10:K10" si="0">(L5-K5)/K5*100</f>
        <v>0.68829891838741675</v>
      </c>
      <c r="K10" s="20">
        <f t="shared" si="0"/>
        <v>-0.39062500000000555</v>
      </c>
      <c r="L10" s="20">
        <f>(N5-M5)/M5*100</f>
        <v>0.39215686274510358</v>
      </c>
      <c r="M10" s="20">
        <f>(O5-N5)/N5*100</f>
        <v>-0.87890625000000555</v>
      </c>
      <c r="N10" s="20">
        <f>(P5-O5)/O5*100</f>
        <v>1.4778325123152709</v>
      </c>
    </row>
    <row r="11" spans="1:16">
      <c r="B11" s="21" t="s">
        <v>156</v>
      </c>
      <c r="C11" s="87" t="s">
        <v>158</v>
      </c>
      <c r="D11" s="20">
        <v>-1.363193768257065</v>
      </c>
      <c r="E11" s="20">
        <v>-0.37842951750237058</v>
      </c>
      <c r="F11" s="20">
        <v>-2.5592417061611403</v>
      </c>
      <c r="G11" s="20">
        <v>-1.2025901942645674</v>
      </c>
      <c r="H11" s="20">
        <v>-1.5794669299111492</v>
      </c>
      <c r="I11" s="20">
        <f>(K6-G6)/G6*100</f>
        <v>-3.1339031339031314</v>
      </c>
      <c r="J11" s="20">
        <f>(L6-H6)/H6*100</f>
        <v>-1.4591439688715953</v>
      </c>
      <c r="K11" s="20">
        <f t="shared" ref="K11" si="1">(M6-I6)/I6*100</f>
        <v>-1.9662921348314555</v>
      </c>
      <c r="L11" s="20">
        <f>(N6-J6)/J6*100</f>
        <v>-0.30090270812437026</v>
      </c>
      <c r="M11" s="20">
        <f>(O6-K6)/K6*100</f>
        <v>0</v>
      </c>
      <c r="N11" s="20">
        <f>(P6-L6)/L6*100</f>
        <v>1.4807502467917077</v>
      </c>
    </row>
    <row r="13" spans="1:16" s="89" customFormat="1" ht="17.25">
      <c r="B13" s="214"/>
      <c r="C13" s="21"/>
      <c r="D13" s="97" t="s">
        <v>16</v>
      </c>
      <c r="E13" s="97" t="s">
        <v>17</v>
      </c>
      <c r="F13" s="97" t="s">
        <v>84</v>
      </c>
      <c r="G13" s="97" t="s">
        <v>245</v>
      </c>
      <c r="H13" s="97" t="s">
        <v>379</v>
      </c>
    </row>
    <row r="14" spans="1:16" s="89" customFormat="1">
      <c r="C14" s="140" t="s">
        <v>157</v>
      </c>
      <c r="D14" s="20">
        <f>J10</f>
        <v>0.68829891838741675</v>
      </c>
      <c r="E14" s="20">
        <f t="shared" ref="E14:H14" si="2">K10</f>
        <v>-0.39062500000000555</v>
      </c>
      <c r="F14" s="20">
        <f t="shared" si="2"/>
        <v>0.39215686274510358</v>
      </c>
      <c r="G14" s="20">
        <f t="shared" si="2"/>
        <v>-0.87890625000000555</v>
      </c>
      <c r="H14" s="20">
        <f t="shared" si="2"/>
        <v>1.4778325123152709</v>
      </c>
    </row>
    <row r="15" spans="1:16">
      <c r="C15" s="140" t="s">
        <v>158</v>
      </c>
      <c r="D15" s="20">
        <f>J11</f>
        <v>-1.4591439688715953</v>
      </c>
      <c r="E15" s="20">
        <f t="shared" ref="E15:H15" si="3">K11</f>
        <v>-1.9662921348314555</v>
      </c>
      <c r="F15" s="20">
        <f t="shared" si="3"/>
        <v>-0.30090270812437026</v>
      </c>
      <c r="G15" s="20">
        <f>M11</f>
        <v>0</v>
      </c>
      <c r="H15" s="20">
        <f t="shared" si="3"/>
        <v>1.4807502467917077</v>
      </c>
    </row>
    <row r="16" spans="1:16" s="89" customFormat="1">
      <c r="C16" s="93"/>
    </row>
    <row r="17" spans="2:14" s="116" customFormat="1">
      <c r="C17" s="93"/>
    </row>
    <row r="18" spans="2:14" s="116" customFormat="1">
      <c r="C18" s="93"/>
    </row>
    <row r="19" spans="2:14" s="116" customFormat="1">
      <c r="C19" s="93"/>
    </row>
    <row r="20" spans="2:14" s="116" customFormat="1">
      <c r="C20" s="93"/>
    </row>
    <row r="21" spans="2:14" s="116" customFormat="1">
      <c r="C21" s="93"/>
    </row>
    <row r="22" spans="2:14" s="116" customFormat="1">
      <c r="C22" s="93"/>
    </row>
    <row r="23" spans="2:14" s="116" customFormat="1">
      <c r="C23" s="93"/>
    </row>
    <row r="28" spans="2:14" ht="17.25">
      <c r="B28" s="88"/>
      <c r="C28" s="166" t="s">
        <v>159</v>
      </c>
      <c r="D28" s="97" t="s">
        <v>154</v>
      </c>
      <c r="E28" s="97" t="s">
        <v>11</v>
      </c>
      <c r="F28" s="97" t="s">
        <v>12</v>
      </c>
      <c r="G28" s="97" t="s">
        <v>13</v>
      </c>
      <c r="H28" s="97" t="s">
        <v>14</v>
      </c>
      <c r="I28" s="97" t="s">
        <v>15</v>
      </c>
      <c r="J28" s="97" t="s">
        <v>16</v>
      </c>
      <c r="K28" s="97" t="s">
        <v>17</v>
      </c>
      <c r="L28" s="97" t="s">
        <v>84</v>
      </c>
      <c r="M28" s="97" t="s">
        <v>254</v>
      </c>
      <c r="N28" s="97" t="s">
        <v>379</v>
      </c>
    </row>
    <row r="29" spans="2:14">
      <c r="C29" s="166" t="s">
        <v>157</v>
      </c>
      <c r="D29" s="91">
        <v>93.8</v>
      </c>
      <c r="E29" s="91">
        <v>97.2</v>
      </c>
      <c r="F29" s="91">
        <v>97.4</v>
      </c>
      <c r="G29" s="91">
        <v>94.4</v>
      </c>
      <c r="H29" s="91">
        <v>92.3</v>
      </c>
      <c r="I29" s="91">
        <v>94.6</v>
      </c>
      <c r="J29" s="91">
        <v>95.3</v>
      </c>
      <c r="K29" s="91">
        <v>94.8</v>
      </c>
      <c r="L29" s="91">
        <v>92.4</v>
      </c>
      <c r="M29" s="21">
        <v>94.2</v>
      </c>
      <c r="N29" s="21">
        <v>91.8</v>
      </c>
    </row>
    <row r="30" spans="2:14">
      <c r="C30" s="166" t="s">
        <v>158</v>
      </c>
      <c r="D30" s="20">
        <v>94.7</v>
      </c>
      <c r="E30" s="20">
        <v>94.2</v>
      </c>
      <c r="F30" s="20">
        <v>101.4</v>
      </c>
      <c r="G30" s="20">
        <v>91.9</v>
      </c>
      <c r="H30" s="20">
        <v>93.8</v>
      </c>
      <c r="I30" s="20">
        <v>91.7</v>
      </c>
      <c r="J30" s="20">
        <v>98.6</v>
      </c>
      <c r="K30" s="20">
        <v>92.4</v>
      </c>
      <c r="L30" s="20">
        <v>93.4</v>
      </c>
      <c r="M30" s="21">
        <v>91.4</v>
      </c>
      <c r="N30" s="21">
        <v>95.7</v>
      </c>
    </row>
    <row r="33" spans="3:8" ht="17.25">
      <c r="C33" s="21"/>
      <c r="D33" s="97" t="s">
        <v>16</v>
      </c>
      <c r="E33" s="97" t="s">
        <v>17</v>
      </c>
      <c r="F33" s="97" t="s">
        <v>84</v>
      </c>
      <c r="G33" s="97" t="s">
        <v>245</v>
      </c>
      <c r="H33" s="97" t="s">
        <v>379</v>
      </c>
    </row>
    <row r="34" spans="3:8">
      <c r="C34" s="87" t="s">
        <v>157</v>
      </c>
      <c r="D34" s="20">
        <f>(J29-I29)/I29*100</f>
        <v>0.7399577167019058</v>
      </c>
      <c r="E34" s="20">
        <f>(K29-J29)/J29*100</f>
        <v>-0.52465897166841557</v>
      </c>
      <c r="F34" s="20">
        <f>(L29-K29)/K29*100</f>
        <v>-2.531645569620244</v>
      </c>
      <c r="G34" s="20">
        <f>(M29-L29)/L29*100</f>
        <v>1.9480519480519449</v>
      </c>
      <c r="H34" s="20">
        <f>(N29-M29)/M29*100</f>
        <v>-2.5477707006369488</v>
      </c>
    </row>
    <row r="35" spans="3:8">
      <c r="C35" s="87" t="s">
        <v>158</v>
      </c>
      <c r="D35" s="20">
        <f>(J30-F30)/F30*100</f>
        <v>-2.7613412228796954</v>
      </c>
      <c r="E35" s="20">
        <f t="shared" ref="E35:G35" si="4">(K30-G30)/G30*100</f>
        <v>0.54406964091403687</v>
      </c>
      <c r="F35" s="20">
        <f t="shared" si="4"/>
        <v>-0.42643923240937254</v>
      </c>
      <c r="G35" s="20">
        <f t="shared" si="4"/>
        <v>-0.32715376226826298</v>
      </c>
      <c r="H35" s="20">
        <f>(N30-J30)/J30*100</f>
        <v>-2.9411764705882271</v>
      </c>
    </row>
    <row r="49" spans="3:23">
      <c r="D49" s="92" t="s">
        <v>161</v>
      </c>
      <c r="E49" s="92" t="s">
        <v>162</v>
      </c>
      <c r="F49" s="92" t="s">
        <v>163</v>
      </c>
      <c r="G49" s="92" t="s">
        <v>164</v>
      </c>
      <c r="H49" s="92" t="s">
        <v>165</v>
      </c>
      <c r="I49" s="92" t="s">
        <v>166</v>
      </c>
      <c r="J49" s="92" t="s">
        <v>167</v>
      </c>
      <c r="K49" s="92" t="s">
        <v>168</v>
      </c>
      <c r="L49" s="92" t="s">
        <v>169</v>
      </c>
      <c r="M49" s="92" t="s">
        <v>170</v>
      </c>
      <c r="N49" s="92" t="s">
        <v>171</v>
      </c>
      <c r="O49" s="92" t="s">
        <v>172</v>
      </c>
      <c r="P49" s="92" t="s">
        <v>173</v>
      </c>
      <c r="Q49" s="92" t="s">
        <v>174</v>
      </c>
      <c r="R49" s="92" t="s">
        <v>175</v>
      </c>
      <c r="S49" s="92" t="s">
        <v>176</v>
      </c>
      <c r="T49" s="92" t="s">
        <v>246</v>
      </c>
      <c r="U49" s="92" t="s">
        <v>381</v>
      </c>
      <c r="V49" s="92" t="s">
        <v>380</v>
      </c>
    </row>
    <row r="50" spans="3:23">
      <c r="C50" s="94" t="s">
        <v>125</v>
      </c>
      <c r="D50" s="91">
        <v>100.1</v>
      </c>
      <c r="E50" s="91">
        <v>105.9</v>
      </c>
      <c r="F50" s="91">
        <v>106.5</v>
      </c>
      <c r="G50" s="91">
        <v>110.6</v>
      </c>
      <c r="H50" s="91">
        <v>102.7</v>
      </c>
      <c r="I50" s="91">
        <v>105.7</v>
      </c>
      <c r="J50" s="91">
        <v>105.5</v>
      </c>
      <c r="K50" s="91">
        <v>108.1</v>
      </c>
      <c r="L50" s="91">
        <v>101.3</v>
      </c>
      <c r="M50" s="91">
        <v>105.3</v>
      </c>
      <c r="N50" s="91">
        <v>102.8</v>
      </c>
      <c r="O50" s="91">
        <v>106.8</v>
      </c>
      <c r="P50" s="91">
        <v>99.7</v>
      </c>
      <c r="Q50" s="91">
        <v>102</v>
      </c>
      <c r="R50" s="91">
        <v>101.3</v>
      </c>
      <c r="S50" s="91">
        <v>104.7</v>
      </c>
      <c r="T50" s="91">
        <v>99.4</v>
      </c>
      <c r="U50" s="91">
        <v>102</v>
      </c>
      <c r="V50" s="91">
        <v>102.8</v>
      </c>
    </row>
    <row r="51" spans="3:23">
      <c r="C51" s="94" t="s">
        <v>151</v>
      </c>
      <c r="D51" s="91">
        <v>102.9</v>
      </c>
      <c r="E51" s="91">
        <v>109.2</v>
      </c>
      <c r="F51" s="91">
        <v>104.6</v>
      </c>
      <c r="G51" s="91">
        <v>108.5</v>
      </c>
      <c r="H51" s="91">
        <v>100.4</v>
      </c>
      <c r="I51" s="91">
        <v>103.9</v>
      </c>
      <c r="J51" s="91">
        <v>102</v>
      </c>
      <c r="K51" s="91">
        <v>105.4</v>
      </c>
      <c r="L51" s="91">
        <v>98.6</v>
      </c>
      <c r="M51" s="91">
        <v>104.8</v>
      </c>
      <c r="N51" s="91">
        <v>99.6</v>
      </c>
      <c r="O51" s="91">
        <v>104.3</v>
      </c>
      <c r="P51" s="91">
        <v>95.2</v>
      </c>
      <c r="Q51" s="91">
        <v>97.5</v>
      </c>
      <c r="R51" s="91">
        <v>98.8</v>
      </c>
      <c r="S51" s="91">
        <v>99.8</v>
      </c>
      <c r="T51" s="91">
        <v>98.1</v>
      </c>
      <c r="U51" s="91">
        <v>102.3</v>
      </c>
      <c r="V51" s="91">
        <v>106</v>
      </c>
    </row>
    <row r="52" spans="3:23">
      <c r="C52" s="94" t="s">
        <v>152</v>
      </c>
      <c r="D52" s="91">
        <v>97.1</v>
      </c>
      <c r="E52" s="91">
        <v>115.8</v>
      </c>
      <c r="F52" s="91">
        <v>105.5</v>
      </c>
      <c r="G52" s="91">
        <v>132.19999999999999</v>
      </c>
      <c r="H52" s="91">
        <v>104.7</v>
      </c>
      <c r="I52" s="91">
        <v>121.9</v>
      </c>
      <c r="J52" s="91">
        <v>108</v>
      </c>
      <c r="K52" s="91">
        <v>126.2</v>
      </c>
      <c r="L52" s="91">
        <v>107.4</v>
      </c>
      <c r="M52" s="91">
        <v>120.5</v>
      </c>
      <c r="N52" s="91">
        <v>103.1</v>
      </c>
      <c r="O52" s="91">
        <v>127.4</v>
      </c>
      <c r="P52" s="91">
        <v>104.2</v>
      </c>
      <c r="Q52" s="91">
        <v>115.7</v>
      </c>
      <c r="R52" s="91">
        <v>100</v>
      </c>
      <c r="S52" s="91">
        <v>124.8</v>
      </c>
      <c r="T52" s="91">
        <v>99.8</v>
      </c>
      <c r="U52" s="91">
        <v>110.5</v>
      </c>
      <c r="V52" s="91">
        <v>100.8</v>
      </c>
    </row>
    <row r="53" spans="3:23">
      <c r="C53" s="95" t="s">
        <v>153</v>
      </c>
      <c r="D53" s="91">
        <v>99.6</v>
      </c>
      <c r="E53" s="91">
        <v>100.8</v>
      </c>
      <c r="F53" s="91">
        <v>107.8</v>
      </c>
      <c r="G53" s="91">
        <v>104.4</v>
      </c>
      <c r="H53" s="91">
        <v>103</v>
      </c>
      <c r="I53" s="91">
        <v>101.2</v>
      </c>
      <c r="J53" s="91">
        <v>106.3</v>
      </c>
      <c r="K53" s="91">
        <v>103.3</v>
      </c>
      <c r="L53" s="91">
        <v>100.5</v>
      </c>
      <c r="M53" s="91">
        <v>100.6</v>
      </c>
      <c r="N53" s="91">
        <v>104</v>
      </c>
      <c r="O53" s="91">
        <v>101.3</v>
      </c>
      <c r="P53" s="91">
        <v>100.2</v>
      </c>
      <c r="Q53" s="91">
        <v>99.6</v>
      </c>
      <c r="R53" s="91">
        <v>102.7</v>
      </c>
      <c r="S53" s="91">
        <v>100.4</v>
      </c>
      <c r="T53" s="91">
        <v>99.8</v>
      </c>
      <c r="U53" s="91">
        <v>98.9</v>
      </c>
      <c r="V53" s="91">
        <v>95.7</v>
      </c>
    </row>
    <row r="55" spans="3:23" s="141" customFormat="1">
      <c r="O55" s="39" t="s">
        <v>247</v>
      </c>
      <c r="P55" s="21"/>
      <c r="Q55" s="21">
        <v>101</v>
      </c>
      <c r="R55" s="21">
        <v>103</v>
      </c>
      <c r="S55" s="21">
        <v>107.6</v>
      </c>
      <c r="T55" s="21">
        <v>99.7</v>
      </c>
      <c r="U55" s="21">
        <v>116.2</v>
      </c>
      <c r="V55" s="153">
        <v>114.6</v>
      </c>
      <c r="W55" s="117">
        <f>(V55-R55)/R55*100</f>
        <v>11.26213592233009</v>
      </c>
    </row>
    <row r="56" spans="3:23" s="141" customFormat="1">
      <c r="O56" s="39" t="s">
        <v>248</v>
      </c>
      <c r="P56" s="21"/>
      <c r="Q56" s="21">
        <v>89.6</v>
      </c>
      <c r="R56" s="21">
        <v>85</v>
      </c>
      <c r="S56" s="21">
        <v>81.099999999999994</v>
      </c>
      <c r="T56" s="21">
        <v>75.900000000000006</v>
      </c>
      <c r="U56" s="21">
        <v>83.3</v>
      </c>
      <c r="V56" s="153">
        <v>87</v>
      </c>
      <c r="W56" s="117">
        <f t="shared" ref="W56:W58" si="5">(V56-R56)/R56*100</f>
        <v>2.3529411764705883</v>
      </c>
    </row>
    <row r="57" spans="3:23" s="141" customFormat="1">
      <c r="O57" s="39" t="s">
        <v>249</v>
      </c>
      <c r="P57" s="21"/>
      <c r="Q57" s="21">
        <v>91.8</v>
      </c>
      <c r="R57" s="21">
        <v>108.1</v>
      </c>
      <c r="S57" s="21">
        <v>99.9</v>
      </c>
      <c r="T57" s="21">
        <v>116.5</v>
      </c>
      <c r="U57" s="21">
        <v>95.3</v>
      </c>
      <c r="V57" s="153">
        <v>109.8</v>
      </c>
      <c r="W57" s="117">
        <f t="shared" si="5"/>
        <v>1.5726179463459788</v>
      </c>
    </row>
    <row r="58" spans="3:23" s="141" customFormat="1">
      <c r="O58" s="145" t="s">
        <v>250</v>
      </c>
      <c r="P58" s="21"/>
      <c r="Q58" s="21">
        <v>82.3</v>
      </c>
      <c r="R58" s="21">
        <v>82</v>
      </c>
      <c r="S58" s="21">
        <v>84.4</v>
      </c>
      <c r="T58" s="21">
        <v>83.1</v>
      </c>
      <c r="U58" s="21">
        <v>74.5</v>
      </c>
      <c r="V58" s="153">
        <v>76.7</v>
      </c>
      <c r="W58" s="117">
        <f t="shared" si="5"/>
        <v>-6.4634146341463374</v>
      </c>
    </row>
    <row r="59" spans="3:23" s="141" customFormat="1"/>
    <row r="60" spans="3:23">
      <c r="O60" s="146" t="s">
        <v>125</v>
      </c>
      <c r="P60" s="20">
        <f t="shared" ref="P60:V63" si="6">(P50-L50)/L50*100</f>
        <v>-1.5794669299111492</v>
      </c>
      <c r="Q60" s="20">
        <f t="shared" si="6"/>
        <v>-3.1339031339031314</v>
      </c>
      <c r="R60" s="20">
        <f t="shared" si="6"/>
        <v>-1.4591439688715953</v>
      </c>
      <c r="S60" s="20">
        <f t="shared" si="6"/>
        <v>-1.9662921348314555</v>
      </c>
      <c r="T60" s="20">
        <f t="shared" si="6"/>
        <v>-0.30090270812437026</v>
      </c>
      <c r="U60" s="20">
        <f t="shared" si="6"/>
        <v>0</v>
      </c>
      <c r="V60" s="20">
        <f>(V50-R50)/R50*100</f>
        <v>1.4807502467917077</v>
      </c>
    </row>
    <row r="61" spans="3:23">
      <c r="O61" s="99" t="s">
        <v>151</v>
      </c>
      <c r="P61" s="20">
        <f t="shared" si="6"/>
        <v>-3.4482758620689573</v>
      </c>
      <c r="Q61" s="20">
        <f t="shared" si="6"/>
        <v>-6.9656488549618301</v>
      </c>
      <c r="R61" s="20">
        <f t="shared" si="6"/>
        <v>-0.8032128514056196</v>
      </c>
      <c r="S61" s="20">
        <f t="shared" si="6"/>
        <v>-4.3144774688398853</v>
      </c>
      <c r="T61" s="20">
        <f t="shared" si="6"/>
        <v>3.0462184873949489</v>
      </c>
      <c r="U61" s="20">
        <f t="shared" si="6"/>
        <v>4.9230769230769207</v>
      </c>
      <c r="V61" s="20">
        <f t="shared" si="6"/>
        <v>7.2874493927125545</v>
      </c>
    </row>
    <row r="62" spans="3:23">
      <c r="O62" s="99" t="s">
        <v>152</v>
      </c>
      <c r="P62" s="20">
        <f t="shared" si="6"/>
        <v>-2.979515828677842</v>
      </c>
      <c r="Q62" s="20">
        <f t="shared" si="6"/>
        <v>-3.9834024896265539</v>
      </c>
      <c r="R62" s="20">
        <f t="shared" si="6"/>
        <v>-3.0067895247332634</v>
      </c>
      <c r="S62" s="20">
        <f t="shared" si="6"/>
        <v>-2.0408163265306185</v>
      </c>
      <c r="T62" s="20">
        <f t="shared" si="6"/>
        <v>-4.2226487523992375</v>
      </c>
      <c r="U62" s="20">
        <f t="shared" si="6"/>
        <v>-4.4943820224719131</v>
      </c>
      <c r="V62" s="20">
        <f t="shared" si="6"/>
        <v>0.79999999999999727</v>
      </c>
    </row>
    <row r="63" spans="3:23">
      <c r="O63" s="99" t="s">
        <v>153</v>
      </c>
      <c r="P63" s="20">
        <f t="shared" si="6"/>
        <v>-0.29850746268656436</v>
      </c>
      <c r="Q63" s="20">
        <f t="shared" si="6"/>
        <v>-0.99403578528827041</v>
      </c>
      <c r="R63" s="20">
        <f t="shared" si="6"/>
        <v>-1.2499999999999973</v>
      </c>
      <c r="S63" s="20">
        <f t="shared" si="6"/>
        <v>-0.88845014807501632</v>
      </c>
      <c r="T63" s="20">
        <f t="shared" si="6"/>
        <v>-0.39920159680639289</v>
      </c>
      <c r="U63" s="20">
        <f t="shared" si="6"/>
        <v>-0.70281124497990832</v>
      </c>
      <c r="V63" s="20">
        <f t="shared" si="6"/>
        <v>-6.8159688412852972</v>
      </c>
    </row>
    <row r="64" spans="3:23" s="141" customFormat="1">
      <c r="O64" s="147"/>
      <c r="P64" s="148"/>
      <c r="Q64" s="148"/>
      <c r="R64" s="148"/>
      <c r="S64" s="148"/>
      <c r="T64" s="148"/>
      <c r="U64" s="148"/>
    </row>
    <row r="65" spans="3:24" s="141" customFormat="1">
      <c r="O65" s="99" t="s">
        <v>251</v>
      </c>
      <c r="P65" s="20"/>
      <c r="Q65" s="20">
        <v>120.4</v>
      </c>
      <c r="R65" s="20"/>
      <c r="S65" s="20"/>
      <c r="T65" s="20">
        <v>106.5</v>
      </c>
      <c r="U65" s="20">
        <v>115.4</v>
      </c>
      <c r="V65" s="273">
        <v>100.8</v>
      </c>
      <c r="W65" s="18">
        <f>(U65-Q65)/Q65*100</f>
        <v>-4.1528239202657806</v>
      </c>
    </row>
    <row r="66" spans="3:24" s="141" customFormat="1">
      <c r="O66" s="99" t="s">
        <v>252</v>
      </c>
      <c r="P66" s="20"/>
      <c r="Q66" s="20">
        <v>131.80000000000001</v>
      </c>
      <c r="R66" s="20"/>
      <c r="S66" s="20"/>
      <c r="T66" s="20">
        <v>116.8</v>
      </c>
      <c r="U66" s="20">
        <v>126.2</v>
      </c>
      <c r="V66" s="273">
        <v>116</v>
      </c>
      <c r="W66" s="18">
        <f t="shared" ref="W66:W67" si="7">(U66-Q66)/Q66*100</f>
        <v>-4.2488619119878663</v>
      </c>
    </row>
    <row r="67" spans="3:24" s="141" customFormat="1">
      <c r="O67" s="99" t="s">
        <v>253</v>
      </c>
      <c r="P67" s="20"/>
      <c r="Q67" s="20">
        <v>113.1</v>
      </c>
      <c r="R67" s="20"/>
      <c r="S67" s="20"/>
      <c r="T67" s="20">
        <v>93.3</v>
      </c>
      <c r="U67" s="20">
        <v>107.4</v>
      </c>
      <c r="V67" s="273">
        <v>101.7</v>
      </c>
      <c r="W67" s="18">
        <f t="shared" si="7"/>
        <v>-5.0397877984084776</v>
      </c>
    </row>
    <row r="68" spans="3:24" s="141" customFormat="1">
      <c r="O68" s="147"/>
      <c r="P68" s="148"/>
      <c r="Q68" s="148"/>
      <c r="R68" s="148"/>
      <c r="S68" s="148"/>
      <c r="T68" s="148"/>
      <c r="U68" s="148"/>
    </row>
    <row r="69" spans="3:24">
      <c r="O69" s="275" t="s">
        <v>386</v>
      </c>
      <c r="R69" s="276">
        <v>101.4</v>
      </c>
      <c r="V69" s="277">
        <v>95.7</v>
      </c>
      <c r="W69" s="18">
        <f>(V69-R69)/R69*100</f>
        <v>-5.6213017751479315</v>
      </c>
    </row>
    <row r="70" spans="3:24">
      <c r="O70" s="94" t="s">
        <v>387</v>
      </c>
      <c r="R70" s="91">
        <v>123.3</v>
      </c>
      <c r="V70" s="91">
        <v>140.30000000000001</v>
      </c>
      <c r="W70" s="18">
        <f t="shared" ref="W70:W73" si="8">(V70-R70)/R70*100</f>
        <v>13.787510137875113</v>
      </c>
    </row>
    <row r="71" spans="3:24">
      <c r="O71" s="94" t="s">
        <v>388</v>
      </c>
      <c r="R71" s="91">
        <v>90.4</v>
      </c>
      <c r="V71" s="91">
        <v>82.5</v>
      </c>
      <c r="W71" s="18">
        <f t="shared" si="8"/>
        <v>-8.7389380530973497</v>
      </c>
    </row>
    <row r="72" spans="3:24">
      <c r="O72" s="94" t="s">
        <v>389</v>
      </c>
      <c r="R72" s="91">
        <v>104</v>
      </c>
      <c r="V72" s="91">
        <v>99</v>
      </c>
      <c r="W72" s="18">
        <f t="shared" si="8"/>
        <v>-4.8076923076923084</v>
      </c>
    </row>
    <row r="73" spans="3:24">
      <c r="O73" s="94" t="s">
        <v>390</v>
      </c>
      <c r="R73" s="91">
        <v>101.6</v>
      </c>
      <c r="V73" s="91">
        <v>101.7</v>
      </c>
      <c r="W73" s="18">
        <f t="shared" si="8"/>
        <v>9.8425196850402089E-2</v>
      </c>
    </row>
    <row r="75" spans="3:24">
      <c r="C75" s="142" t="s">
        <v>385</v>
      </c>
      <c r="D75" s="36" t="s">
        <v>177</v>
      </c>
      <c r="E75" s="142" t="s">
        <v>178</v>
      </c>
      <c r="F75" s="142" t="s">
        <v>179</v>
      </c>
      <c r="G75" s="142" t="s">
        <v>23</v>
      </c>
      <c r="H75" s="142" t="s">
        <v>24</v>
      </c>
      <c r="I75" s="142" t="s">
        <v>25</v>
      </c>
      <c r="J75" s="142" t="s">
        <v>26</v>
      </c>
      <c r="K75" s="142" t="s">
        <v>27</v>
      </c>
      <c r="L75" s="142" t="s">
        <v>28</v>
      </c>
      <c r="M75" s="142" t="s">
        <v>29</v>
      </c>
      <c r="N75" s="142" t="s">
        <v>30</v>
      </c>
      <c r="O75" s="142" t="s">
        <v>31</v>
      </c>
      <c r="P75" s="36" t="s">
        <v>180</v>
      </c>
      <c r="Q75" s="142" t="s">
        <v>181</v>
      </c>
      <c r="R75" s="142" t="s">
        <v>179</v>
      </c>
      <c r="S75" s="142" t="s">
        <v>23</v>
      </c>
      <c r="T75" s="142" t="s">
        <v>24</v>
      </c>
      <c r="U75" s="142" t="s">
        <v>25</v>
      </c>
      <c r="V75" s="271" t="s">
        <v>382</v>
      </c>
      <c r="W75" s="271" t="s">
        <v>383</v>
      </c>
      <c r="X75" s="271" t="s">
        <v>384</v>
      </c>
    </row>
    <row r="76" spans="3:24">
      <c r="C76" s="142" t="s">
        <v>182</v>
      </c>
      <c r="D76" s="154">
        <v>215818.36</v>
      </c>
      <c r="E76" s="154">
        <v>203465.1</v>
      </c>
      <c r="F76" s="154">
        <v>218395.11</v>
      </c>
      <c r="G76" s="154">
        <v>211505.72</v>
      </c>
      <c r="H76" s="154">
        <v>222900.12</v>
      </c>
      <c r="I76" s="154">
        <v>215186.39</v>
      </c>
      <c r="J76" s="154">
        <v>214621.86</v>
      </c>
      <c r="K76" s="154">
        <v>210874.81</v>
      </c>
      <c r="L76" s="154">
        <v>209963.76</v>
      </c>
      <c r="M76" s="154">
        <v>216584.46</v>
      </c>
      <c r="N76" s="154">
        <v>226306.51</v>
      </c>
      <c r="O76" s="154">
        <v>228696.64</v>
      </c>
      <c r="P76" s="154">
        <v>219227.32</v>
      </c>
      <c r="Q76" s="154">
        <v>210971</v>
      </c>
      <c r="R76" s="154">
        <v>223874</v>
      </c>
      <c r="S76" s="155">
        <v>217496</v>
      </c>
      <c r="T76" s="155">
        <v>224260</v>
      </c>
      <c r="U76" s="155">
        <v>219869</v>
      </c>
      <c r="V76" s="274">
        <v>231427</v>
      </c>
      <c r="W76" s="274">
        <v>223416</v>
      </c>
      <c r="X76" s="274">
        <v>237956</v>
      </c>
    </row>
    <row r="77" spans="3:24">
      <c r="C77" s="102" t="s">
        <v>183</v>
      </c>
      <c r="D77" s="154">
        <v>163158.91</v>
      </c>
      <c r="E77" s="154">
        <v>155359.65</v>
      </c>
      <c r="F77" s="154">
        <v>164513.39000000001</v>
      </c>
      <c r="G77" s="154">
        <v>160582.54</v>
      </c>
      <c r="H77" s="154">
        <v>168685.33</v>
      </c>
      <c r="I77" s="154">
        <v>162808.25</v>
      </c>
      <c r="J77" s="154">
        <v>165091.82</v>
      </c>
      <c r="K77" s="154">
        <v>163872.12</v>
      </c>
      <c r="L77" s="154">
        <v>162712.82999999999</v>
      </c>
      <c r="M77" s="154">
        <v>167292.92000000001</v>
      </c>
      <c r="N77" s="154">
        <v>172327.06</v>
      </c>
      <c r="O77" s="154">
        <v>176989.88</v>
      </c>
      <c r="P77" s="154">
        <v>172928.91</v>
      </c>
      <c r="Q77" s="154">
        <v>161553</v>
      </c>
      <c r="R77" s="154">
        <v>172008</v>
      </c>
      <c r="S77" s="155">
        <v>167824</v>
      </c>
      <c r="T77" s="155">
        <v>174272</v>
      </c>
      <c r="U77" s="155">
        <v>170957</v>
      </c>
      <c r="V77" s="274">
        <v>182580</v>
      </c>
      <c r="W77" s="274">
        <v>177499</v>
      </c>
      <c r="X77" s="274">
        <v>180552</v>
      </c>
    </row>
    <row r="78" spans="3:24" s="90" customFormat="1">
      <c r="C78" s="105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</row>
    <row r="79" spans="3:24" s="143" customFormat="1">
      <c r="C79" s="105"/>
      <c r="D79" s="106"/>
      <c r="E79" s="106"/>
      <c r="F79" s="106"/>
      <c r="G79" s="106"/>
      <c r="H79" s="168"/>
      <c r="I79" s="106"/>
      <c r="J79" s="106"/>
      <c r="K79" s="106"/>
      <c r="L79" s="106"/>
      <c r="M79" s="106"/>
      <c r="N79" s="106"/>
      <c r="O79" s="106"/>
      <c r="P79" s="106"/>
      <c r="Q79" s="106"/>
      <c r="R79" s="106"/>
    </row>
    <row r="80" spans="3:24" s="143" customFormat="1">
      <c r="C80" s="105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</row>
    <row r="81" spans="3:24" s="143" customFormat="1">
      <c r="C81" s="105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</row>
    <row r="82" spans="3:24" s="90" customFormat="1">
      <c r="C82" s="105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</row>
    <row r="83" spans="3:24" s="90" customFormat="1">
      <c r="C83" s="95" t="s">
        <v>184</v>
      </c>
      <c r="D83" s="101">
        <v>29547.41</v>
      </c>
      <c r="E83" s="101">
        <v>26106.97</v>
      </c>
      <c r="F83" s="101">
        <v>28139.06</v>
      </c>
      <c r="G83" s="101">
        <v>27971.33</v>
      </c>
      <c r="H83" s="101">
        <v>29217.83</v>
      </c>
      <c r="I83" s="101">
        <v>27184.799999999999</v>
      </c>
      <c r="J83" s="101">
        <v>28578.51</v>
      </c>
      <c r="K83" s="101">
        <v>30287.3</v>
      </c>
      <c r="L83" s="101">
        <v>30459.040000000001</v>
      </c>
      <c r="M83" s="101">
        <v>29124.38</v>
      </c>
      <c r="N83" s="101">
        <v>29267.18</v>
      </c>
      <c r="O83" s="101">
        <v>29385.21</v>
      </c>
      <c r="P83" s="101">
        <v>32266.49</v>
      </c>
      <c r="Q83" s="101">
        <v>28269.34</v>
      </c>
      <c r="R83" s="101">
        <v>30812</v>
      </c>
      <c r="S83" s="156">
        <v>30478</v>
      </c>
      <c r="T83" s="156">
        <v>30992</v>
      </c>
      <c r="U83" s="156">
        <v>30182</v>
      </c>
      <c r="V83" s="156">
        <v>32173</v>
      </c>
      <c r="W83" s="156">
        <v>32052</v>
      </c>
      <c r="X83" s="156">
        <v>35846</v>
      </c>
    </row>
    <row r="84" spans="3:24" s="90" customFormat="1">
      <c r="C84" s="95" t="s">
        <v>185</v>
      </c>
      <c r="D84" s="101">
        <v>12059.17</v>
      </c>
      <c r="E84" s="101">
        <v>10962.44</v>
      </c>
      <c r="F84" s="101">
        <v>10407.52</v>
      </c>
      <c r="G84" s="101">
        <v>9982.06</v>
      </c>
      <c r="H84" s="101">
        <v>10486.61</v>
      </c>
      <c r="I84" s="101">
        <v>9779.69</v>
      </c>
      <c r="J84" s="101">
        <v>9821.4599999999991</v>
      </c>
      <c r="K84" s="101">
        <v>10660.52</v>
      </c>
      <c r="L84" s="101">
        <v>12207.74</v>
      </c>
      <c r="M84" s="101">
        <v>10322.24</v>
      </c>
      <c r="N84" s="101">
        <v>10402.64</v>
      </c>
      <c r="O84" s="101">
        <v>11201.76</v>
      </c>
      <c r="P84" s="101">
        <v>14797.75</v>
      </c>
      <c r="Q84" s="101">
        <v>10670.92</v>
      </c>
      <c r="R84" s="101">
        <v>11567</v>
      </c>
      <c r="S84" s="156">
        <v>11288</v>
      </c>
      <c r="T84" s="156">
        <v>11498</v>
      </c>
      <c r="U84" s="156">
        <v>11067</v>
      </c>
      <c r="V84" s="156">
        <v>11474</v>
      </c>
      <c r="W84" s="156">
        <v>11584</v>
      </c>
      <c r="X84" s="156">
        <v>14781</v>
      </c>
    </row>
    <row r="85" spans="3:24" s="90" customFormat="1">
      <c r="C85" s="95" t="s">
        <v>186</v>
      </c>
      <c r="D85" s="101">
        <v>29138.07</v>
      </c>
      <c r="E85" s="101">
        <v>27925.8</v>
      </c>
      <c r="F85" s="101">
        <v>29360.98</v>
      </c>
      <c r="G85" s="101">
        <v>27996.51</v>
      </c>
      <c r="H85" s="101">
        <v>30143.88</v>
      </c>
      <c r="I85" s="101">
        <v>30317.26</v>
      </c>
      <c r="J85" s="101">
        <v>32101.59</v>
      </c>
      <c r="K85" s="101">
        <v>34295.86</v>
      </c>
      <c r="L85" s="101">
        <v>31357.1</v>
      </c>
      <c r="M85" s="101">
        <v>31402.84</v>
      </c>
      <c r="N85" s="101">
        <v>30750.75</v>
      </c>
      <c r="O85" s="101">
        <v>35100.51</v>
      </c>
      <c r="P85" s="101">
        <v>34243.68</v>
      </c>
      <c r="Q85" s="101">
        <v>30843.14</v>
      </c>
      <c r="R85" s="101">
        <v>33649</v>
      </c>
      <c r="S85" s="156">
        <v>31935</v>
      </c>
      <c r="T85" s="156">
        <v>34588</v>
      </c>
      <c r="U85" s="156">
        <v>34501</v>
      </c>
      <c r="V85" s="156">
        <v>35766</v>
      </c>
      <c r="W85" s="156">
        <v>36864</v>
      </c>
      <c r="X85" s="156">
        <v>33291</v>
      </c>
    </row>
    <row r="86" spans="3:24" s="90" customFormat="1">
      <c r="C86" s="105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U86" s="103">
        <f>SUM(P85:U85)</f>
        <v>199759.82</v>
      </c>
    </row>
    <row r="87" spans="3:24" s="90" customFormat="1">
      <c r="C87" s="105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</row>
    <row r="89" spans="3:24" s="90" customFormat="1"/>
    <row r="91" spans="3:24">
      <c r="C91" s="142"/>
      <c r="D91" s="36"/>
      <c r="E91" s="142"/>
      <c r="F91" s="104" t="s">
        <v>365</v>
      </c>
      <c r="G91" s="36"/>
      <c r="H91" s="142"/>
      <c r="I91" s="107" t="s">
        <v>365</v>
      </c>
      <c r="J91" s="142" t="s">
        <v>187</v>
      </c>
    </row>
    <row r="92" spans="3:24">
      <c r="C92" s="109" t="s">
        <v>182</v>
      </c>
      <c r="D92" s="157"/>
      <c r="E92" s="157"/>
      <c r="F92" s="158">
        <f>SUM(J76:L76)</f>
        <v>635460.42999999993</v>
      </c>
      <c r="G92" s="157"/>
      <c r="H92" s="157"/>
      <c r="I92" s="159">
        <f>SUM(V76:X76)</f>
        <v>692799</v>
      </c>
      <c r="J92" s="164">
        <f>(I92-F92)/F92*100</f>
        <v>9.0231534951751549</v>
      </c>
    </row>
    <row r="93" spans="3:24">
      <c r="C93" s="110" t="s">
        <v>183</v>
      </c>
      <c r="D93" s="157"/>
      <c r="E93" s="157"/>
      <c r="F93" s="158">
        <f>SUM(J77:L77)</f>
        <v>491676.77</v>
      </c>
      <c r="G93" s="163">
        <f>F93/F92*100</f>
        <v>77.373310246870929</v>
      </c>
      <c r="H93" s="163">
        <f>I93/I92*100</f>
        <v>78.035765063171283</v>
      </c>
      <c r="I93" s="159">
        <f>SUM(V77:X77)</f>
        <v>540631</v>
      </c>
      <c r="J93" s="164">
        <f t="shared" ref="J93:J97" si="9">(I93-F93)/F93*100</f>
        <v>9.9565879429284365</v>
      </c>
    </row>
    <row r="94" spans="3:24">
      <c r="C94" s="95" t="s">
        <v>184</v>
      </c>
      <c r="D94" s="21"/>
      <c r="E94" s="21"/>
      <c r="F94" s="160">
        <f>SUM(J83:L83)</f>
        <v>89324.85</v>
      </c>
      <c r="G94" s="21"/>
      <c r="H94" s="21"/>
      <c r="I94" s="161">
        <f>SUM(V83:X83)</f>
        <v>100071</v>
      </c>
      <c r="J94" s="24">
        <f t="shared" si="9"/>
        <v>12.030414828572333</v>
      </c>
    </row>
    <row r="95" spans="3:24">
      <c r="C95" s="95" t="s">
        <v>185</v>
      </c>
      <c r="D95" s="21"/>
      <c r="E95" s="21"/>
      <c r="F95" s="160">
        <f>SUM(J84:L84)</f>
        <v>32689.72</v>
      </c>
      <c r="G95" s="21"/>
      <c r="H95" s="21"/>
      <c r="I95" s="161">
        <f>SUM(V84:X84)</f>
        <v>37839</v>
      </c>
      <c r="J95" s="24">
        <f t="shared" si="9"/>
        <v>15.751985639522145</v>
      </c>
    </row>
    <row r="96" spans="3:24" s="90" customFormat="1">
      <c r="C96" s="162" t="s">
        <v>188</v>
      </c>
      <c r="D96" s="157"/>
      <c r="E96" s="157"/>
      <c r="F96" s="158">
        <f>F94+F95</f>
        <v>122014.57</v>
      </c>
      <c r="G96" s="157"/>
      <c r="H96" s="157"/>
      <c r="I96" s="159">
        <f>I94+I95</f>
        <v>137910</v>
      </c>
      <c r="J96" s="164">
        <f t="shared" si="9"/>
        <v>13.027485160173896</v>
      </c>
    </row>
    <row r="97" spans="3:10" s="150" customFormat="1">
      <c r="C97" s="162" t="s">
        <v>395</v>
      </c>
      <c r="D97" s="157"/>
      <c r="E97" s="157"/>
      <c r="F97" s="158">
        <f>SUM(D104:F104)</f>
        <v>13863</v>
      </c>
      <c r="G97" s="157"/>
      <c r="H97" s="157"/>
      <c r="I97" s="159">
        <f>SUM(G104:I104)</f>
        <v>24825</v>
      </c>
      <c r="J97" s="164">
        <f t="shared" si="9"/>
        <v>79.073793551179392</v>
      </c>
    </row>
    <row r="98" spans="3:10">
      <c r="C98" s="108" t="s">
        <v>186</v>
      </c>
      <c r="D98" s="157"/>
      <c r="E98" s="157"/>
      <c r="F98" s="158">
        <f>SUM(J85:L85)</f>
        <v>97754.549999999988</v>
      </c>
      <c r="G98" s="157"/>
      <c r="H98" s="157"/>
      <c r="I98" s="159">
        <f>SUM(V85:X85)</f>
        <v>105921</v>
      </c>
      <c r="J98" s="164">
        <f>(I98-F98)/F98*100</f>
        <v>8.3540356945022118</v>
      </c>
    </row>
    <row r="99" spans="3:10">
      <c r="I99" s="103"/>
    </row>
    <row r="100" spans="3:10">
      <c r="F100" s="89">
        <f>F96/F92*100</f>
        <v>19.20097054666331</v>
      </c>
      <c r="I100">
        <f>I96/I92*100</f>
        <v>19.906206562076449</v>
      </c>
    </row>
    <row r="103" spans="3:10">
      <c r="C103" s="162" t="s">
        <v>395</v>
      </c>
      <c r="D103" s="272" t="s">
        <v>399</v>
      </c>
      <c r="E103" s="272" t="s">
        <v>400</v>
      </c>
      <c r="F103" s="272" t="s">
        <v>401</v>
      </c>
      <c r="G103" s="92" t="s">
        <v>396</v>
      </c>
      <c r="H103" s="92" t="s">
        <v>397</v>
      </c>
      <c r="I103" s="92" t="s">
        <v>398</v>
      </c>
    </row>
    <row r="104" spans="3:10">
      <c r="C104" s="21"/>
      <c r="D104" s="21">
        <v>4715</v>
      </c>
      <c r="E104" s="21">
        <v>5042</v>
      </c>
      <c r="F104" s="21">
        <v>4106</v>
      </c>
      <c r="G104" s="101">
        <v>7300</v>
      </c>
      <c r="H104" s="101">
        <v>7821</v>
      </c>
      <c r="I104" s="101">
        <v>9704</v>
      </c>
    </row>
  </sheetData>
  <mergeCells count="1">
    <mergeCell ref="B9:C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74"/>
  <sheetViews>
    <sheetView topLeftCell="AA6" zoomScaleNormal="100" workbookViewId="0">
      <selection activeCell="H21" sqref="H21"/>
    </sheetView>
  </sheetViews>
  <sheetFormatPr defaultRowHeight="16.5"/>
  <cols>
    <col min="1" max="2" width="9" style="11"/>
    <col min="3" max="3" width="21" style="11" bestFit="1" customWidth="1"/>
    <col min="4" max="15" width="9" style="11"/>
    <col min="16" max="19" width="9.875" style="11" bestFit="1" customWidth="1"/>
    <col min="20" max="21" width="10.625" style="11" bestFit="1" customWidth="1"/>
    <col min="22" max="22" width="9.875" style="11" bestFit="1" customWidth="1"/>
    <col min="23" max="27" width="10.625" style="11" bestFit="1" customWidth="1"/>
    <col min="28" max="28" width="9.875" style="11" bestFit="1" customWidth="1"/>
    <col min="29" max="29" width="10.625" style="11" bestFit="1" customWidth="1"/>
    <col min="30" max="16384" width="9" style="11"/>
  </cols>
  <sheetData>
    <row r="1" spans="1:45" s="5" customFormat="1" ht="17.25">
      <c r="A1" s="1" t="s">
        <v>201</v>
      </c>
      <c r="B1" s="16"/>
      <c r="C1" s="7"/>
      <c r="D1" s="7"/>
      <c r="E1" s="16"/>
      <c r="F1" s="16"/>
    </row>
    <row r="2" spans="1:45" s="5" customFormat="1" ht="17.25">
      <c r="A2" s="3" t="s">
        <v>71</v>
      </c>
      <c r="B2" s="16"/>
      <c r="C2" s="7"/>
      <c r="D2" s="7"/>
      <c r="E2" s="16"/>
      <c r="F2" s="16"/>
    </row>
    <row r="3" spans="1:45">
      <c r="A3" s="11" t="s">
        <v>202</v>
      </c>
    </row>
    <row r="5" spans="1:45">
      <c r="C5" s="37" t="s">
        <v>65</v>
      </c>
      <c r="D5" s="36" t="s">
        <v>66</v>
      </c>
      <c r="E5" s="28" t="s">
        <v>61</v>
      </c>
      <c r="F5" s="28" t="s">
        <v>62</v>
      </c>
      <c r="G5" s="28" t="s">
        <v>23</v>
      </c>
      <c r="H5" s="28" t="s">
        <v>24</v>
      </c>
      <c r="I5" s="28" t="s">
        <v>25</v>
      </c>
      <c r="J5" s="28" t="s">
        <v>26</v>
      </c>
      <c r="K5" s="28" t="s">
        <v>27</v>
      </c>
      <c r="L5" s="28" t="s">
        <v>28</v>
      </c>
      <c r="M5" s="28" t="s">
        <v>29</v>
      </c>
      <c r="N5" s="28" t="s">
        <v>30</v>
      </c>
      <c r="O5" s="28" t="s">
        <v>31</v>
      </c>
      <c r="P5" s="36" t="s">
        <v>67</v>
      </c>
      <c r="Q5" s="28" t="s">
        <v>61</v>
      </c>
      <c r="R5" s="28" t="s">
        <v>63</v>
      </c>
      <c r="S5" s="28" t="s">
        <v>23</v>
      </c>
      <c r="T5" s="28" t="s">
        <v>24</v>
      </c>
      <c r="U5" s="28" t="s">
        <v>25</v>
      </c>
      <c r="V5" s="28" t="s">
        <v>26</v>
      </c>
      <c r="W5" s="28" t="s">
        <v>27</v>
      </c>
      <c r="X5" s="28" t="s">
        <v>28</v>
      </c>
      <c r="Y5" s="28" t="s">
        <v>29</v>
      </c>
      <c r="Z5" s="28" t="s">
        <v>30</v>
      </c>
      <c r="AA5" s="28" t="s">
        <v>31</v>
      </c>
      <c r="AB5" s="28" t="s">
        <v>68</v>
      </c>
      <c r="AC5" s="28" t="s">
        <v>21</v>
      </c>
      <c r="AD5" s="28" t="s">
        <v>22</v>
      </c>
      <c r="AE5" s="118" t="s">
        <v>23</v>
      </c>
      <c r="AF5" s="118" t="s">
        <v>24</v>
      </c>
      <c r="AG5" s="118" t="s">
        <v>25</v>
      </c>
      <c r="AH5" s="225" t="s">
        <v>26</v>
      </c>
      <c r="AI5" s="225" t="s">
        <v>27</v>
      </c>
      <c r="AJ5" s="225" t="s">
        <v>28</v>
      </c>
      <c r="AK5" s="325" t="s">
        <v>29</v>
      </c>
      <c r="AL5" s="325" t="s">
        <v>30</v>
      </c>
      <c r="AM5" s="325" t="s">
        <v>31</v>
      </c>
      <c r="AN5" s="325" t="s">
        <v>641</v>
      </c>
      <c r="AO5" s="325" t="s">
        <v>21</v>
      </c>
      <c r="AP5" s="325" t="s">
        <v>22</v>
      </c>
      <c r="AQ5" s="325" t="s">
        <v>23</v>
      </c>
      <c r="AR5" s="325" t="s">
        <v>24</v>
      </c>
      <c r="AS5" s="325" t="s">
        <v>25</v>
      </c>
    </row>
    <row r="6" spans="1:45" ht="18">
      <c r="C6" s="28" t="s">
        <v>69</v>
      </c>
      <c r="D6" s="41">
        <v>110.07</v>
      </c>
      <c r="E6" s="41">
        <v>110.33</v>
      </c>
      <c r="F6" s="41">
        <v>110.52</v>
      </c>
      <c r="G6" s="41">
        <v>110.77</v>
      </c>
      <c r="H6" s="41">
        <v>111.13</v>
      </c>
      <c r="I6" s="41">
        <v>111.16</v>
      </c>
      <c r="J6" s="41">
        <v>111.29</v>
      </c>
      <c r="K6" s="41">
        <v>112.28</v>
      </c>
      <c r="L6" s="41">
        <v>112.85</v>
      </c>
      <c r="M6" s="41">
        <v>113.27</v>
      </c>
      <c r="N6" s="41">
        <v>112.68</v>
      </c>
      <c r="O6" s="41">
        <v>112.73</v>
      </c>
      <c r="P6" s="41">
        <v>113.17</v>
      </c>
      <c r="Q6" s="41">
        <v>113.78</v>
      </c>
      <c r="R6" s="41">
        <v>113.95</v>
      </c>
      <c r="S6" s="41">
        <v>114.01</v>
      </c>
      <c r="T6" s="41">
        <v>114.1</v>
      </c>
      <c r="U6" s="41">
        <v>113.84</v>
      </c>
      <c r="V6" s="41">
        <v>114.13</v>
      </c>
      <c r="W6" s="41">
        <v>114.54</v>
      </c>
      <c r="X6" s="41">
        <v>114.65</v>
      </c>
      <c r="Y6" s="41">
        <v>114.69</v>
      </c>
      <c r="Z6" s="41">
        <v>114.4</v>
      </c>
      <c r="AA6" s="41">
        <v>114.91</v>
      </c>
      <c r="AB6" s="41">
        <v>115.71</v>
      </c>
      <c r="AC6" s="41">
        <v>116.08</v>
      </c>
      <c r="AD6" s="41">
        <v>116.29</v>
      </c>
      <c r="AE6" s="21">
        <v>116.38</v>
      </c>
      <c r="AF6" s="21">
        <v>116.27</v>
      </c>
      <c r="AG6" s="21">
        <v>116.31</v>
      </c>
      <c r="AH6" s="21">
        <v>116.52</v>
      </c>
      <c r="AI6" s="21">
        <v>116.45</v>
      </c>
      <c r="AJ6" s="21">
        <v>117.06</v>
      </c>
      <c r="AK6" s="11">
        <v>117.42</v>
      </c>
      <c r="AL6" s="11">
        <v>117.2</v>
      </c>
      <c r="AM6" s="11">
        <v>117.57</v>
      </c>
      <c r="AN6" s="11">
        <v>118.03</v>
      </c>
      <c r="AO6" s="11">
        <v>118.4</v>
      </c>
      <c r="AP6" s="11">
        <v>118.8</v>
      </c>
      <c r="AQ6" s="11">
        <v>119.37</v>
      </c>
      <c r="AR6" s="11">
        <v>119.92</v>
      </c>
      <c r="AS6" s="11">
        <v>119.99</v>
      </c>
    </row>
    <row r="7" spans="1:45" ht="17.25" customHeight="1">
      <c r="C7" s="39" t="s">
        <v>70</v>
      </c>
      <c r="D7" s="41">
        <v>107.29</v>
      </c>
      <c r="E7" s="41">
        <v>107.6</v>
      </c>
      <c r="F7" s="41">
        <v>107.81</v>
      </c>
      <c r="G7" s="41">
        <v>108.12</v>
      </c>
      <c r="H7" s="41">
        <v>108.51</v>
      </c>
      <c r="I7" s="41">
        <v>108.61</v>
      </c>
      <c r="J7" s="41">
        <v>108.91</v>
      </c>
      <c r="K7" s="41">
        <v>109.16</v>
      </c>
      <c r="L7" s="41">
        <v>109.02</v>
      </c>
      <c r="M7" s="41">
        <v>109.4</v>
      </c>
      <c r="N7" s="41">
        <v>109.4</v>
      </c>
      <c r="O7" s="41">
        <v>109.6</v>
      </c>
      <c r="P7" s="41">
        <v>110.01</v>
      </c>
      <c r="Q7" s="41">
        <v>110.34</v>
      </c>
      <c r="R7" s="41">
        <v>110.42</v>
      </c>
      <c r="S7" s="41">
        <v>110.66</v>
      </c>
      <c r="T7" s="41">
        <v>110.91</v>
      </c>
      <c r="U7" s="41">
        <v>110.95</v>
      </c>
      <c r="V7" s="41">
        <v>111.27</v>
      </c>
      <c r="W7" s="41">
        <v>111.4</v>
      </c>
      <c r="X7" s="41">
        <v>111.18</v>
      </c>
      <c r="Y7" s="41">
        <v>111.39</v>
      </c>
      <c r="Z7" s="41">
        <v>111.44</v>
      </c>
      <c r="AA7" s="41">
        <v>111.59</v>
      </c>
      <c r="AB7" s="41">
        <v>112.14</v>
      </c>
      <c r="AC7" s="41">
        <v>112.29</v>
      </c>
      <c r="AD7" s="41">
        <v>112.52</v>
      </c>
      <c r="AE7" s="21">
        <v>112.93</v>
      </c>
      <c r="AF7" s="21">
        <v>113.1</v>
      </c>
      <c r="AG7" s="21">
        <v>113.17</v>
      </c>
      <c r="AH7" s="21">
        <v>113.47</v>
      </c>
      <c r="AI7" s="21">
        <v>112.84</v>
      </c>
      <c r="AJ7" s="21">
        <v>113.36</v>
      </c>
    </row>
    <row r="8" spans="1:45" ht="17.25" customHeight="1">
      <c r="C8" s="213" t="s">
        <v>73</v>
      </c>
      <c r="D8" s="40">
        <v>113.65</v>
      </c>
      <c r="E8" s="40">
        <v>113.04</v>
      </c>
      <c r="F8" s="40">
        <v>113.3</v>
      </c>
      <c r="G8" s="40">
        <v>111.75</v>
      </c>
      <c r="H8" s="40">
        <v>112.19</v>
      </c>
      <c r="I8" s="40">
        <v>112.25</v>
      </c>
      <c r="J8" s="40">
        <v>114.3</v>
      </c>
      <c r="K8" s="40">
        <v>120.23</v>
      </c>
      <c r="L8" s="40">
        <v>123.76</v>
      </c>
      <c r="M8" s="40">
        <v>123.77</v>
      </c>
      <c r="N8" s="40">
        <v>117.79</v>
      </c>
      <c r="O8" s="40">
        <v>119.27</v>
      </c>
      <c r="P8" s="40">
        <v>122.71</v>
      </c>
      <c r="Q8" s="40">
        <v>125.98</v>
      </c>
      <c r="R8" s="40">
        <v>126.54</v>
      </c>
      <c r="S8" s="40">
        <v>123.54</v>
      </c>
      <c r="T8" s="40">
        <v>121.9</v>
      </c>
      <c r="U8" s="40">
        <v>119.5</v>
      </c>
      <c r="V8" s="40">
        <v>120.59</v>
      </c>
      <c r="W8" s="40">
        <v>123.15</v>
      </c>
      <c r="X8" s="40">
        <v>126.65</v>
      </c>
      <c r="Y8" s="40">
        <v>125.27</v>
      </c>
      <c r="Z8" s="40">
        <v>119</v>
      </c>
      <c r="AA8" s="40">
        <v>122.32</v>
      </c>
      <c r="AB8" s="40">
        <v>125.01</v>
      </c>
      <c r="AC8" s="40">
        <v>127.19</v>
      </c>
      <c r="AD8" s="40">
        <v>127.72</v>
      </c>
      <c r="AE8" s="21">
        <v>125.4</v>
      </c>
      <c r="AF8" s="21">
        <v>122.08</v>
      </c>
      <c r="AG8" s="21">
        <v>121.31</v>
      </c>
      <c r="AH8" s="21">
        <v>123.16</v>
      </c>
      <c r="AI8" s="21">
        <v>129.02000000000001</v>
      </c>
      <c r="AJ8" s="21">
        <v>129.03</v>
      </c>
    </row>
    <row r="9" spans="1:45">
      <c r="C9" s="29"/>
      <c r="P9" s="18">
        <f t="shared" ref="P9:AD11" si="0">(P6-D6)/D6*100</f>
        <v>2.8163895702734703</v>
      </c>
      <c r="Q9" s="18">
        <f t="shared" si="0"/>
        <v>3.1269826882987428</v>
      </c>
      <c r="R9" s="18">
        <f t="shared" si="0"/>
        <v>3.1035106768005853</v>
      </c>
      <c r="S9" s="18">
        <f t="shared" si="0"/>
        <v>2.9249796876410663</v>
      </c>
      <c r="T9" s="18">
        <f t="shared" si="0"/>
        <v>2.6725456672365691</v>
      </c>
      <c r="U9" s="18">
        <f t="shared" si="0"/>
        <v>2.4109391867578327</v>
      </c>
      <c r="V9" s="18">
        <f t="shared" si="0"/>
        <v>2.55189145475783</v>
      </c>
      <c r="W9" s="18">
        <f t="shared" si="0"/>
        <v>2.0128250801567558</v>
      </c>
      <c r="X9" s="18">
        <f>(X6-L6)/L6*100</f>
        <v>1.5950376606114411</v>
      </c>
      <c r="Y9" s="18">
        <f t="shared" si="0"/>
        <v>1.2536417409728982</v>
      </c>
      <c r="Z9" s="18">
        <f t="shared" si="0"/>
        <v>1.5264465743698961</v>
      </c>
      <c r="AA9" s="18">
        <f t="shared" si="0"/>
        <v>1.9338241816730175</v>
      </c>
      <c r="AB9" s="18">
        <f t="shared" si="0"/>
        <v>2.2444110630025556</v>
      </c>
      <c r="AC9" s="18">
        <f t="shared" si="0"/>
        <v>2.0214448936544183</v>
      </c>
      <c r="AD9" s="18">
        <f t="shared" si="0"/>
        <v>2.0535322509872782</v>
      </c>
      <c r="AE9" s="18">
        <f t="shared" ref="AE9:AE10" si="1">(AE6-S6)/S6*100</f>
        <v>2.0787650206122184</v>
      </c>
      <c r="AF9" s="18">
        <f t="shared" ref="AF9:AF11" si="2">(AF6-T6)/T6*100</f>
        <v>1.9018404907975475</v>
      </c>
      <c r="AG9" s="18">
        <f t="shared" ref="AG9:AG10" si="3">(AG6-U6)/U6*100</f>
        <v>2.169711876317638</v>
      </c>
      <c r="AH9" s="18">
        <f t="shared" ref="AH9:AH11" si="4">(AH6-V6)/V6*100</f>
        <v>2.0941032156312982</v>
      </c>
      <c r="AI9" s="18">
        <f>(AI6-W6)/W6*100</f>
        <v>1.6675397241138437</v>
      </c>
      <c r="AJ9" s="18">
        <f t="shared" ref="AJ9:AJ11" si="5">(AJ6-X6)/X6*100</f>
        <v>2.1020497165285623</v>
      </c>
    </row>
    <row r="10" spans="1:45">
      <c r="P10" s="18">
        <f t="shared" si="0"/>
        <v>2.5351850125827182</v>
      </c>
      <c r="Q10" s="18">
        <f t="shared" si="0"/>
        <v>2.5464684014869974</v>
      </c>
      <c r="R10" s="18">
        <f t="shared" si="0"/>
        <v>2.420925702624988</v>
      </c>
      <c r="S10" s="18">
        <f t="shared" si="0"/>
        <v>2.3492415834258158</v>
      </c>
      <c r="T10" s="18">
        <f t="shared" si="0"/>
        <v>2.2117777163395003</v>
      </c>
      <c r="U10" s="18">
        <f t="shared" si="0"/>
        <v>2.1544977442224504</v>
      </c>
      <c r="V10" s="18">
        <f t="shared" si="0"/>
        <v>2.1669268203103478</v>
      </c>
      <c r="W10" s="18">
        <f t="shared" si="0"/>
        <v>2.0520337119824195</v>
      </c>
      <c r="X10" s="18">
        <f t="shared" si="0"/>
        <v>1.9812878370941212</v>
      </c>
      <c r="Y10" s="18">
        <f t="shared" si="0"/>
        <v>1.8190127970749495</v>
      </c>
      <c r="Z10" s="18">
        <f t="shared" si="0"/>
        <v>1.8647166361974332</v>
      </c>
      <c r="AA10" s="18">
        <f t="shared" si="0"/>
        <v>1.8156934306569426</v>
      </c>
      <c r="AB10" s="18">
        <f t="shared" si="0"/>
        <v>1.9361876193073315</v>
      </c>
      <c r="AC10" s="18">
        <f t="shared" si="0"/>
        <v>1.7672648178357828</v>
      </c>
      <c r="AD10" s="18">
        <f t="shared" si="0"/>
        <v>1.901829378735731</v>
      </c>
      <c r="AE10" s="18">
        <f t="shared" si="1"/>
        <v>2.0513283932767128</v>
      </c>
      <c r="AF10" s="18">
        <f t="shared" si="2"/>
        <v>1.9745739789018102</v>
      </c>
      <c r="AG10" s="18">
        <f t="shared" si="3"/>
        <v>2.0009013068949968</v>
      </c>
      <c r="AH10" s="18">
        <f t="shared" si="4"/>
        <v>1.9771726431203407</v>
      </c>
      <c r="AI10" s="18">
        <f t="shared" ref="AI10:AI11" si="6">(AI7-W7)/W7*100</f>
        <v>1.2926391382405724</v>
      </c>
      <c r="AJ10" s="18">
        <f t="shared" si="5"/>
        <v>1.9607843137254837</v>
      </c>
    </row>
    <row r="11" spans="1:45">
      <c r="C11" s="37" t="s">
        <v>65</v>
      </c>
      <c r="P11" s="18">
        <f t="shared" si="0"/>
        <v>7.9718433787945342</v>
      </c>
      <c r="Q11" s="18">
        <f t="shared" si="0"/>
        <v>11.447275300778482</v>
      </c>
      <c r="R11" s="18">
        <f t="shared" si="0"/>
        <v>11.68578993821713</v>
      </c>
      <c r="S11" s="18">
        <f t="shared" si="0"/>
        <v>10.550335570469805</v>
      </c>
      <c r="T11" s="18">
        <f t="shared" si="0"/>
        <v>8.6549603351457414</v>
      </c>
      <c r="U11" s="165">
        <f t="shared" si="0"/>
        <v>6.4587973273942101</v>
      </c>
      <c r="V11" s="18">
        <f t="shared" si="0"/>
        <v>5.5030621172353511</v>
      </c>
      <c r="W11" s="18">
        <f t="shared" si="0"/>
        <v>2.4286783664642781</v>
      </c>
      <c r="X11" s="18">
        <f t="shared" si="0"/>
        <v>2.3351648351648358</v>
      </c>
      <c r="Y11" s="18">
        <f t="shared" si="0"/>
        <v>1.2119253453987235</v>
      </c>
      <c r="Z11" s="18">
        <f t="shared" si="0"/>
        <v>1.0272518889549145</v>
      </c>
      <c r="AA11" s="18">
        <f t="shared" si="0"/>
        <v>2.5572231072356817</v>
      </c>
      <c r="AB11" s="18">
        <f t="shared" si="0"/>
        <v>1.8743378697742741</v>
      </c>
      <c r="AC11" s="18">
        <f t="shared" si="0"/>
        <v>0.96046991585965524</v>
      </c>
      <c r="AD11" s="18">
        <f>(AD8-R8)/R8*100</f>
        <v>0.9325114588272424</v>
      </c>
      <c r="AE11" s="18">
        <f>(AE8-S8)/S8*100</f>
        <v>1.505585235551238</v>
      </c>
      <c r="AF11" s="18">
        <f t="shared" si="2"/>
        <v>0.1476620180475739</v>
      </c>
      <c r="AG11" s="18">
        <f>(AG8-U8)/U8*100</f>
        <v>1.5146443514644372</v>
      </c>
      <c r="AH11" s="18">
        <f t="shared" si="4"/>
        <v>2.1311883240733005</v>
      </c>
      <c r="AI11" s="18">
        <f t="shared" si="6"/>
        <v>4.7665448639870114</v>
      </c>
      <c r="AJ11" s="18">
        <f t="shared" si="5"/>
        <v>1.8791946308724796</v>
      </c>
    </row>
    <row r="12" spans="1:45">
      <c r="C12" s="37"/>
      <c r="D12" s="36" t="s">
        <v>221</v>
      </c>
      <c r="E12" s="28" t="s">
        <v>30</v>
      </c>
      <c r="F12" s="28" t="s">
        <v>31</v>
      </c>
      <c r="G12" s="36" t="s">
        <v>222</v>
      </c>
      <c r="H12" s="46" t="s">
        <v>21</v>
      </c>
      <c r="I12" s="46" t="s">
        <v>22</v>
      </c>
      <c r="J12" s="36" t="s">
        <v>23</v>
      </c>
      <c r="K12" s="46" t="s">
        <v>24</v>
      </c>
      <c r="L12" s="118" t="s">
        <v>25</v>
      </c>
      <c r="M12" s="225" t="s">
        <v>26</v>
      </c>
      <c r="N12" s="225" t="s">
        <v>27</v>
      </c>
      <c r="O12" s="225" t="s">
        <v>28</v>
      </c>
    </row>
    <row r="13" spans="1:45">
      <c r="C13" s="28" t="s">
        <v>69</v>
      </c>
      <c r="D13" s="20">
        <v>1.2536417409728982</v>
      </c>
      <c r="E13" s="20">
        <v>1.5264465743698961</v>
      </c>
      <c r="F13" s="20">
        <v>1.9338241816730175</v>
      </c>
      <c r="G13" s="20">
        <v>2.2444110630025556</v>
      </c>
      <c r="H13" s="20">
        <v>2.0214448936544183</v>
      </c>
      <c r="I13" s="20">
        <v>2.05353225098728</v>
      </c>
      <c r="J13" s="20">
        <v>2.0787650206122184</v>
      </c>
      <c r="K13" s="20">
        <v>1.9018404907975475</v>
      </c>
      <c r="L13" s="20">
        <v>2.169711876317638</v>
      </c>
      <c r="M13" s="20">
        <f>AH9</f>
        <v>2.0941032156312982</v>
      </c>
      <c r="N13" s="20">
        <f t="shared" ref="N13:O13" si="7">AI9</f>
        <v>1.6675397241138437</v>
      </c>
      <c r="O13" s="20">
        <f t="shared" si="7"/>
        <v>2.1020497165285623</v>
      </c>
      <c r="AG13" s="11">
        <f>(AG8-AF8)/AF8*100</f>
        <v>-0.63073394495412516</v>
      </c>
    </row>
    <row r="14" spans="1:45">
      <c r="C14" s="39" t="s">
        <v>205</v>
      </c>
      <c r="D14" s="20">
        <v>1.8190127970749495</v>
      </c>
      <c r="E14" s="20">
        <v>1.8647166361974332</v>
      </c>
      <c r="F14" s="20">
        <v>1.8156934306569426</v>
      </c>
      <c r="G14" s="20">
        <v>1.9361876193073315</v>
      </c>
      <c r="H14" s="20">
        <v>1.7672648178357828</v>
      </c>
      <c r="I14" s="20">
        <v>1.901829378735731</v>
      </c>
      <c r="J14" s="20">
        <v>2.0513283932767128</v>
      </c>
      <c r="K14" s="20">
        <v>1.9745739789018102</v>
      </c>
      <c r="L14" s="20">
        <v>2.0009013068949968</v>
      </c>
      <c r="M14" s="20">
        <f>AH10</f>
        <v>1.9771726431203407</v>
      </c>
      <c r="N14" s="20">
        <f t="shared" ref="N14:O14" si="8">AI10</f>
        <v>1.2926391382405724</v>
      </c>
      <c r="O14" s="20">
        <f t="shared" si="8"/>
        <v>1.9607843137254837</v>
      </c>
    </row>
    <row r="15" spans="1:45">
      <c r="A15" s="390" t="s">
        <v>224</v>
      </c>
      <c r="B15" s="391"/>
      <c r="C15" s="167" t="s">
        <v>404</v>
      </c>
      <c r="D15" s="130"/>
      <c r="E15" s="130"/>
      <c r="F15" s="130"/>
      <c r="G15" s="130">
        <f>(W22-K22)/K22*100</f>
        <v>0.61079325807947427</v>
      </c>
      <c r="H15" s="130">
        <f t="shared" ref="H15:O18" si="9">(X22-L22)/L22*100</f>
        <v>-1.1995318899941387</v>
      </c>
      <c r="I15" s="130">
        <f t="shared" si="9"/>
        <v>-1.1268419531927205</v>
      </c>
      <c r="J15" s="130">
        <f t="shared" si="9"/>
        <v>-1.532797355173185</v>
      </c>
      <c r="K15" s="130">
        <f t="shared" si="9"/>
        <v>-4.7417116422513432</v>
      </c>
      <c r="L15" s="130">
        <f t="shared" si="9"/>
        <v>-1.7836781234728765</v>
      </c>
      <c r="M15" s="130">
        <f t="shared" si="9"/>
        <v>-9.6860117846480381E-2</v>
      </c>
      <c r="N15" s="130">
        <f t="shared" si="9"/>
        <v>2.732871439568886</v>
      </c>
      <c r="O15" s="130">
        <f>(AE22-S22)/S22*100</f>
        <v>-1.2300852167469409</v>
      </c>
      <c r="Q15" s="322">
        <f>(S22-G22)/G22*100</f>
        <v>3.2596220062743826</v>
      </c>
    </row>
    <row r="16" spans="1:45" s="150" customFormat="1">
      <c r="A16" s="390" t="s">
        <v>411</v>
      </c>
      <c r="B16" s="390"/>
      <c r="C16" s="285" t="s">
        <v>406</v>
      </c>
      <c r="D16" s="130"/>
      <c r="E16" s="130"/>
      <c r="F16" s="130"/>
      <c r="G16" s="130">
        <f>(W23-K23)/K23*100</f>
        <v>-0.32455135547919378</v>
      </c>
      <c r="H16" s="130">
        <f t="shared" si="9"/>
        <v>1.9173330764042726</v>
      </c>
      <c r="I16" s="130">
        <f t="shared" si="9"/>
        <v>4.5525443556248799</v>
      </c>
      <c r="J16" s="130">
        <f t="shared" si="9"/>
        <v>8.5828343313373185</v>
      </c>
      <c r="K16" s="130">
        <f t="shared" si="9"/>
        <v>6.9717414686613965</v>
      </c>
      <c r="L16" s="130">
        <f t="shared" si="9"/>
        <v>8.8387537845492687</v>
      </c>
      <c r="M16" s="130">
        <f>(AC23-Q23)/Q23*100</f>
        <v>12.226562499999996</v>
      </c>
      <c r="N16" s="130">
        <f t="shared" si="9"/>
        <v>14.740879142491897</v>
      </c>
      <c r="O16" s="130">
        <f t="shared" si="9"/>
        <v>18.095987411487009</v>
      </c>
    </row>
    <row r="17" spans="1:36" s="150" customFormat="1">
      <c r="A17" s="284"/>
      <c r="B17" s="283"/>
      <c r="C17" s="285" t="s">
        <v>407</v>
      </c>
      <c r="D17" s="130"/>
      <c r="E17" s="130"/>
      <c r="F17" s="130"/>
      <c r="G17" s="130">
        <f>(W24-K24)/K24*100</f>
        <v>4.3995147594015345</v>
      </c>
      <c r="H17" s="130">
        <f>(X24-L24)/L24*100</f>
        <v>1.3484848484848493</v>
      </c>
      <c r="I17" s="130">
        <f t="shared" si="9"/>
        <v>1.7740712661106925</v>
      </c>
      <c r="J17" s="130">
        <f t="shared" si="9"/>
        <v>-1.8424652023493491</v>
      </c>
      <c r="K17" s="130">
        <f t="shared" si="9"/>
        <v>-5.4468535166578462</v>
      </c>
      <c r="L17" s="130">
        <f t="shared" si="9"/>
        <v>0.19013309316521337</v>
      </c>
      <c r="M17" s="130">
        <f t="shared" si="9"/>
        <v>-1.5351290261819643</v>
      </c>
      <c r="N17" s="130">
        <f t="shared" si="9"/>
        <v>0.89054404145078414</v>
      </c>
      <c r="O17" s="130">
        <f t="shared" si="9"/>
        <v>-12.273037542662109</v>
      </c>
    </row>
    <row r="18" spans="1:36" s="150" customFormat="1">
      <c r="A18" s="284"/>
      <c r="B18" s="283"/>
      <c r="C18" s="285" t="s">
        <v>408</v>
      </c>
      <c r="D18" s="130"/>
      <c r="E18" s="130"/>
      <c r="F18" s="130"/>
      <c r="G18" s="130">
        <f t="shared" ref="G18" si="10">(W25-K25)/K25*100</f>
        <v>-2.5801720114674338</v>
      </c>
      <c r="H18" s="130">
        <f t="shared" si="9"/>
        <v>-5.3403719845313296</v>
      </c>
      <c r="I18" s="130">
        <f t="shared" si="9"/>
        <v>-6.0016605384889132</v>
      </c>
      <c r="J18" s="130">
        <f t="shared" si="9"/>
        <v>-5.4111892387649174</v>
      </c>
      <c r="K18" s="130">
        <f t="shared" si="9"/>
        <v>-9.5328244274809233</v>
      </c>
      <c r="L18" s="130">
        <f t="shared" si="9"/>
        <v>-7.410203182990502</v>
      </c>
      <c r="M18" s="130">
        <f t="shared" si="9"/>
        <v>-3.7878787878787734</v>
      </c>
      <c r="N18" s="130">
        <f t="shared" si="9"/>
        <v>0.20697238212275607</v>
      </c>
      <c r="O18" s="130">
        <f t="shared" si="9"/>
        <v>3.1886071552622464</v>
      </c>
    </row>
    <row r="19" spans="1:36" s="150" customFormat="1">
      <c r="A19" s="286"/>
      <c r="B19" s="286"/>
      <c r="C19" s="282" t="s">
        <v>405</v>
      </c>
      <c r="D19" s="130"/>
      <c r="E19" s="130"/>
      <c r="F19" s="130"/>
      <c r="G19" s="130">
        <f>(W27-K27)/K27*100</f>
        <v>3.7160715814710068</v>
      </c>
      <c r="H19" s="130">
        <f t="shared" ref="H19:N19" si="11">(X27-L27)/L27*100</f>
        <v>3.7990089541858687</v>
      </c>
      <c r="I19" s="130">
        <f t="shared" si="11"/>
        <v>3.0520332313073979</v>
      </c>
      <c r="J19" s="130">
        <f t="shared" si="11"/>
        <v>4.8402625820568934</v>
      </c>
      <c r="K19" s="130">
        <f t="shared" si="11"/>
        <v>6.1866480251660239</v>
      </c>
      <c r="L19" s="130">
        <f>(AB27-P27)/P27*100</f>
        <v>4.3242326606749266</v>
      </c>
      <c r="M19" s="130">
        <f>(AC27-Q27)/Q27*100</f>
        <v>3.5404141616566425</v>
      </c>
      <c r="N19" s="130">
        <f t="shared" si="11"/>
        <v>7.0683956267480319</v>
      </c>
      <c r="O19" s="130">
        <f>(AE27-S27)/S27*100</f>
        <v>5.3910591357717506</v>
      </c>
    </row>
    <row r="21" spans="1:36" s="150" customFormat="1">
      <c r="C21" s="272"/>
      <c r="D21" s="36" t="s">
        <v>403</v>
      </c>
      <c r="E21" s="272" t="s">
        <v>26</v>
      </c>
      <c r="F21" s="272" t="s">
        <v>27</v>
      </c>
      <c r="G21" s="272" t="s">
        <v>28</v>
      </c>
      <c r="H21" s="272" t="s">
        <v>29</v>
      </c>
      <c r="I21" s="272" t="s">
        <v>30</v>
      </c>
      <c r="J21" s="272" t="s">
        <v>31</v>
      </c>
      <c r="K21" s="36" t="s">
        <v>67</v>
      </c>
      <c r="L21" s="272" t="s">
        <v>61</v>
      </c>
      <c r="M21" s="272" t="s">
        <v>62</v>
      </c>
      <c r="N21" s="272" t="s">
        <v>23</v>
      </c>
      <c r="O21" s="272" t="s">
        <v>24</v>
      </c>
      <c r="P21" s="272" t="s">
        <v>25</v>
      </c>
      <c r="Q21" s="272" t="s">
        <v>26</v>
      </c>
      <c r="R21" s="272" t="s">
        <v>27</v>
      </c>
      <c r="S21" s="272" t="s">
        <v>28</v>
      </c>
      <c r="T21" s="272" t="s">
        <v>29</v>
      </c>
      <c r="U21" s="272" t="s">
        <v>30</v>
      </c>
      <c r="V21" s="272" t="s">
        <v>31</v>
      </c>
      <c r="W21" s="272" t="s">
        <v>68</v>
      </c>
      <c r="X21" s="272" t="s">
        <v>21</v>
      </c>
      <c r="Y21" s="272" t="s">
        <v>22</v>
      </c>
      <c r="Z21" s="272" t="s">
        <v>23</v>
      </c>
      <c r="AA21" s="272" t="s">
        <v>24</v>
      </c>
      <c r="AB21" s="272" t="s">
        <v>25</v>
      </c>
      <c r="AC21" s="272" t="s">
        <v>26</v>
      </c>
      <c r="AD21" s="272" t="s">
        <v>27</v>
      </c>
      <c r="AE21" s="272" t="s">
        <v>28</v>
      </c>
      <c r="AF21" s="119" t="s">
        <v>410</v>
      </c>
    </row>
    <row r="22" spans="1:36" s="150" customFormat="1">
      <c r="C22" s="272" t="s">
        <v>404</v>
      </c>
      <c r="D22" s="42">
        <v>108.32</v>
      </c>
      <c r="E22" s="42">
        <v>113.64</v>
      </c>
      <c r="F22" s="42">
        <v>125.44</v>
      </c>
      <c r="G22" s="42">
        <v>130.69</v>
      </c>
      <c r="H22" s="42">
        <v>130</v>
      </c>
      <c r="I22" s="42">
        <v>120.16</v>
      </c>
      <c r="J22" s="42">
        <v>122.47</v>
      </c>
      <c r="K22" s="42">
        <v>129.34</v>
      </c>
      <c r="L22" s="42">
        <v>136.72</v>
      </c>
      <c r="M22" s="42">
        <v>138.44</v>
      </c>
      <c r="N22" s="42">
        <v>133.09</v>
      </c>
      <c r="O22" s="42">
        <v>129.69999999999999</v>
      </c>
      <c r="P22" s="42">
        <v>122.78</v>
      </c>
      <c r="Q22" s="42">
        <v>123.89</v>
      </c>
      <c r="R22" s="42">
        <v>129.9</v>
      </c>
      <c r="S22" s="42">
        <v>134.94999999999999</v>
      </c>
      <c r="T22" s="42">
        <v>131.53</v>
      </c>
      <c r="U22" s="42">
        <v>120.5</v>
      </c>
      <c r="V22" s="42">
        <v>125.7</v>
      </c>
      <c r="W22" s="42">
        <v>130.13</v>
      </c>
      <c r="X22" s="42">
        <v>135.08000000000001</v>
      </c>
      <c r="Y22" s="42">
        <v>136.88</v>
      </c>
      <c r="Z22" s="42">
        <v>131.05000000000001</v>
      </c>
      <c r="AA22" s="42">
        <v>123.55</v>
      </c>
      <c r="AB22" s="42">
        <v>120.59</v>
      </c>
      <c r="AC22" s="42">
        <v>123.77</v>
      </c>
      <c r="AD22" s="42">
        <v>133.44999999999999</v>
      </c>
      <c r="AE22" s="42">
        <v>133.29</v>
      </c>
      <c r="AF22" s="42">
        <v>132.99</v>
      </c>
    </row>
    <row r="23" spans="1:36" s="150" customFormat="1">
      <c r="C23" s="95" t="s">
        <v>406</v>
      </c>
      <c r="D23" s="42">
        <v>96.04</v>
      </c>
      <c r="E23" s="42">
        <v>96.85</v>
      </c>
      <c r="F23" s="42">
        <v>100.08</v>
      </c>
      <c r="G23" s="42">
        <v>102.67</v>
      </c>
      <c r="H23" s="42">
        <v>106.58</v>
      </c>
      <c r="I23" s="42">
        <v>105.42</v>
      </c>
      <c r="J23" s="42">
        <v>105.2</v>
      </c>
      <c r="K23" s="42">
        <v>104.76</v>
      </c>
      <c r="L23" s="42">
        <v>103.79</v>
      </c>
      <c r="M23" s="42">
        <v>102.58</v>
      </c>
      <c r="N23" s="42">
        <v>100.2</v>
      </c>
      <c r="O23" s="42">
        <v>102.27</v>
      </c>
      <c r="P23" s="42">
        <v>102.39</v>
      </c>
      <c r="Q23" s="42">
        <v>102.4</v>
      </c>
      <c r="R23" s="42">
        <v>101.69</v>
      </c>
      <c r="S23" s="42">
        <v>101.68</v>
      </c>
      <c r="T23" s="42">
        <v>102.34</v>
      </c>
      <c r="U23" s="42">
        <v>103.35</v>
      </c>
      <c r="V23" s="42">
        <v>104.12</v>
      </c>
      <c r="W23" s="42">
        <v>104.42</v>
      </c>
      <c r="X23" s="42">
        <v>105.78</v>
      </c>
      <c r="Y23" s="42">
        <v>107.25</v>
      </c>
      <c r="Z23" s="42">
        <v>108.8</v>
      </c>
      <c r="AA23" s="42">
        <v>109.4</v>
      </c>
      <c r="AB23" s="42">
        <v>111.44</v>
      </c>
      <c r="AC23" s="42">
        <v>114.92</v>
      </c>
      <c r="AD23" s="42">
        <v>116.68</v>
      </c>
      <c r="AE23" s="42">
        <v>120.08</v>
      </c>
      <c r="AF23" s="42">
        <v>124.61</v>
      </c>
    </row>
    <row r="24" spans="1:36" s="150" customFormat="1">
      <c r="C24" s="95" t="s">
        <v>407</v>
      </c>
      <c r="D24" s="42">
        <v>100.75</v>
      </c>
      <c r="E24" s="42">
        <v>107.93</v>
      </c>
      <c r="F24" s="42">
        <v>125.65</v>
      </c>
      <c r="G24" s="42">
        <v>131.37</v>
      </c>
      <c r="H24" s="42">
        <v>128.21</v>
      </c>
      <c r="I24" s="42">
        <v>115.32</v>
      </c>
      <c r="J24" s="42">
        <v>111.72</v>
      </c>
      <c r="K24" s="42">
        <v>123.65</v>
      </c>
      <c r="L24" s="42">
        <v>132</v>
      </c>
      <c r="M24" s="42">
        <v>131.9</v>
      </c>
      <c r="N24" s="42">
        <v>124.29</v>
      </c>
      <c r="O24" s="42">
        <v>113.46</v>
      </c>
      <c r="P24" s="42">
        <v>99.93</v>
      </c>
      <c r="Q24" s="42">
        <v>106.18</v>
      </c>
      <c r="R24" s="42">
        <v>123.52</v>
      </c>
      <c r="S24" s="42">
        <v>146.5</v>
      </c>
      <c r="T24" s="42">
        <v>148.24</v>
      </c>
      <c r="U24" s="42">
        <v>127.28</v>
      </c>
      <c r="V24" s="42">
        <v>123.62</v>
      </c>
      <c r="W24" s="42">
        <v>129.09</v>
      </c>
      <c r="X24" s="42">
        <v>133.78</v>
      </c>
      <c r="Y24" s="42">
        <v>134.24</v>
      </c>
      <c r="Z24" s="42">
        <v>122</v>
      </c>
      <c r="AA24" s="42">
        <v>107.28</v>
      </c>
      <c r="AB24" s="42">
        <v>100.12</v>
      </c>
      <c r="AC24" s="42">
        <v>104.55</v>
      </c>
      <c r="AD24" s="42">
        <v>124.62</v>
      </c>
      <c r="AE24" s="42">
        <v>128.52000000000001</v>
      </c>
      <c r="AF24" s="42">
        <v>127.37</v>
      </c>
    </row>
    <row r="25" spans="1:36" s="150" customFormat="1">
      <c r="C25" s="95" t="s">
        <v>408</v>
      </c>
      <c r="D25" s="42">
        <v>121.51</v>
      </c>
      <c r="E25" s="42">
        <v>128.71</v>
      </c>
      <c r="F25" s="42">
        <v>141.28</v>
      </c>
      <c r="G25" s="42">
        <v>148.26</v>
      </c>
      <c r="H25" s="42">
        <v>147.58000000000001</v>
      </c>
      <c r="I25" s="42">
        <v>134</v>
      </c>
      <c r="J25" s="42">
        <v>143.75</v>
      </c>
      <c r="K25" s="42">
        <v>149.99</v>
      </c>
      <c r="L25" s="42">
        <v>162.91</v>
      </c>
      <c r="M25" s="42">
        <v>168.62</v>
      </c>
      <c r="N25" s="42">
        <v>163.55000000000001</v>
      </c>
      <c r="O25" s="42">
        <v>163.75</v>
      </c>
      <c r="P25" s="42">
        <v>158.97</v>
      </c>
      <c r="Q25" s="42">
        <v>155.76</v>
      </c>
      <c r="R25" s="42">
        <v>154.61000000000001</v>
      </c>
      <c r="S25" s="42">
        <v>143.94999999999999</v>
      </c>
      <c r="T25" s="42">
        <v>131.97999999999999</v>
      </c>
      <c r="U25" s="42">
        <v>122.53</v>
      </c>
      <c r="V25" s="42">
        <v>140.13999999999999</v>
      </c>
      <c r="W25" s="42">
        <v>146.12</v>
      </c>
      <c r="X25" s="42">
        <v>154.21</v>
      </c>
      <c r="Y25" s="42">
        <v>158.5</v>
      </c>
      <c r="Z25" s="42">
        <v>154.69999999999999</v>
      </c>
      <c r="AA25" s="42">
        <v>148.13999999999999</v>
      </c>
      <c r="AB25" s="42">
        <v>147.19</v>
      </c>
      <c r="AC25" s="42">
        <v>149.86000000000001</v>
      </c>
      <c r="AD25" s="42">
        <v>154.93</v>
      </c>
      <c r="AE25" s="42">
        <v>148.54</v>
      </c>
      <c r="AF25" s="42">
        <v>146.32</v>
      </c>
    </row>
    <row r="26" spans="1:36" s="150" customFormat="1">
      <c r="C26" s="95" t="s">
        <v>409</v>
      </c>
      <c r="D26" s="42">
        <v>113.86</v>
      </c>
      <c r="E26" s="42">
        <v>112.84</v>
      </c>
      <c r="F26" s="42">
        <v>113.92</v>
      </c>
      <c r="G26" s="42">
        <v>115.55</v>
      </c>
      <c r="H26" s="42">
        <v>115.81</v>
      </c>
      <c r="I26" s="42">
        <v>116.25</v>
      </c>
      <c r="J26" s="42">
        <v>118.85</v>
      </c>
      <c r="K26" s="42">
        <v>121.89</v>
      </c>
      <c r="L26" s="42">
        <v>119.9</v>
      </c>
      <c r="M26" s="42">
        <v>119.1</v>
      </c>
      <c r="N26" s="42">
        <v>116.21</v>
      </c>
      <c r="O26" s="42">
        <v>118.64</v>
      </c>
      <c r="P26" s="42">
        <v>116.62</v>
      </c>
      <c r="Q26" s="42">
        <v>115.75</v>
      </c>
      <c r="R26" s="42">
        <v>116.3</v>
      </c>
      <c r="S26" s="42">
        <v>119.22</v>
      </c>
      <c r="T26" s="42">
        <v>120.14</v>
      </c>
      <c r="U26" s="42">
        <v>120.27</v>
      </c>
      <c r="V26" s="42">
        <v>121.99</v>
      </c>
      <c r="W26" s="42">
        <v>124.32</v>
      </c>
      <c r="X26" s="42">
        <v>124.98</v>
      </c>
      <c r="Y26" s="42">
        <v>122.87</v>
      </c>
      <c r="Z26" s="42">
        <v>120.92</v>
      </c>
      <c r="AA26" s="42">
        <v>123.67</v>
      </c>
      <c r="AB26" s="42">
        <v>119.89</v>
      </c>
      <c r="AC26" s="42">
        <v>119.08</v>
      </c>
      <c r="AD26" s="42">
        <v>119.49</v>
      </c>
      <c r="AE26" s="42">
        <v>119.93</v>
      </c>
      <c r="AF26" s="42">
        <v>121.01</v>
      </c>
    </row>
    <row r="27" spans="1:36" s="150" customFormat="1">
      <c r="C27" s="272" t="s">
        <v>405</v>
      </c>
      <c r="D27" s="42">
        <v>118.89</v>
      </c>
      <c r="E27" s="42">
        <v>117.2</v>
      </c>
      <c r="F27" s="42">
        <v>117.02</v>
      </c>
      <c r="G27" s="42">
        <v>119.82</v>
      </c>
      <c r="H27" s="42">
        <v>120.27</v>
      </c>
      <c r="I27" s="42">
        <v>117.23</v>
      </c>
      <c r="J27" s="42">
        <v>117.51</v>
      </c>
      <c r="K27" s="42">
        <v>116.79</v>
      </c>
      <c r="L27" s="42">
        <v>115.03</v>
      </c>
      <c r="M27" s="42">
        <v>114.35</v>
      </c>
      <c r="N27" s="42">
        <v>114.25</v>
      </c>
      <c r="O27" s="42">
        <v>114.44</v>
      </c>
      <c r="P27" s="42">
        <v>117.94</v>
      </c>
      <c r="Q27" s="42">
        <v>119.76</v>
      </c>
      <c r="R27" s="42">
        <v>117.99</v>
      </c>
      <c r="S27" s="42">
        <v>120.57</v>
      </c>
      <c r="T27" s="42">
        <v>121.35</v>
      </c>
      <c r="U27" s="42">
        <v>119.17</v>
      </c>
      <c r="V27" s="42">
        <v>120.03</v>
      </c>
      <c r="W27" s="42">
        <v>121.13</v>
      </c>
      <c r="X27" s="42">
        <v>119.4</v>
      </c>
      <c r="Y27" s="42">
        <v>117.84</v>
      </c>
      <c r="Z27" s="42">
        <v>119.78</v>
      </c>
      <c r="AA27" s="42">
        <v>121.52</v>
      </c>
      <c r="AB27" s="42">
        <v>123.04</v>
      </c>
      <c r="AC27" s="42">
        <v>124</v>
      </c>
      <c r="AD27" s="42">
        <v>126.33</v>
      </c>
      <c r="AE27" s="42">
        <v>127.07</v>
      </c>
      <c r="AF27" s="42">
        <v>127.8</v>
      </c>
    </row>
    <row r="28" spans="1:36" s="150" customFormat="1">
      <c r="G28" s="18">
        <f>(S22-G22)/G22*100</f>
        <v>3.2596220062743826</v>
      </c>
    </row>
    <row r="29" spans="1:36" s="150" customFormat="1"/>
    <row r="31" spans="1:36">
      <c r="C31" s="38" t="s">
        <v>72</v>
      </c>
      <c r="D31" s="36" t="s">
        <v>66</v>
      </c>
      <c r="E31" s="28" t="s">
        <v>61</v>
      </c>
      <c r="F31" s="28" t="s">
        <v>62</v>
      </c>
      <c r="G31" s="28" t="s">
        <v>23</v>
      </c>
      <c r="H31" s="28" t="s">
        <v>24</v>
      </c>
      <c r="I31" s="28" t="s">
        <v>25</v>
      </c>
      <c r="J31" s="28" t="s">
        <v>26</v>
      </c>
      <c r="K31" s="28" t="s">
        <v>27</v>
      </c>
      <c r="L31" s="28" t="s">
        <v>28</v>
      </c>
      <c r="M31" s="28" t="s">
        <v>29</v>
      </c>
      <c r="N31" s="28" t="s">
        <v>30</v>
      </c>
      <c r="O31" s="28" t="s">
        <v>31</v>
      </c>
      <c r="P31" s="36" t="s">
        <v>67</v>
      </c>
      <c r="Q31" s="235" t="s">
        <v>61</v>
      </c>
      <c r="R31" s="235" t="s">
        <v>63</v>
      </c>
      <c r="S31" s="235" t="s">
        <v>23</v>
      </c>
      <c r="T31" s="235" t="s">
        <v>24</v>
      </c>
      <c r="U31" s="235" t="s">
        <v>25</v>
      </c>
      <c r="V31" s="235" t="s">
        <v>26</v>
      </c>
      <c r="W31" s="235" t="s">
        <v>27</v>
      </c>
      <c r="X31" s="235" t="s">
        <v>28</v>
      </c>
      <c r="Y31" s="235" t="s">
        <v>29</v>
      </c>
      <c r="Z31" s="235" t="s">
        <v>30</v>
      </c>
      <c r="AA31" s="235" t="s">
        <v>31</v>
      </c>
      <c r="AB31" s="235" t="s">
        <v>68</v>
      </c>
      <c r="AC31" s="235" t="s">
        <v>21</v>
      </c>
      <c r="AD31" s="235" t="s">
        <v>22</v>
      </c>
      <c r="AE31" s="235" t="s">
        <v>23</v>
      </c>
      <c r="AF31" s="235" t="s">
        <v>24</v>
      </c>
      <c r="AG31" s="235" t="s">
        <v>25</v>
      </c>
      <c r="AH31" s="235" t="s">
        <v>26</v>
      </c>
      <c r="AI31" s="235" t="s">
        <v>27</v>
      </c>
      <c r="AJ31" s="235" t="s">
        <v>28</v>
      </c>
    </row>
    <row r="32" spans="1:36" ht="18">
      <c r="C32" s="28" t="s">
        <v>69</v>
      </c>
      <c r="D32" s="40">
        <v>116.69</v>
      </c>
      <c r="E32" s="40">
        <v>116.91</v>
      </c>
      <c r="F32" s="40">
        <v>117.05</v>
      </c>
      <c r="G32" s="40">
        <v>116.96</v>
      </c>
      <c r="H32" s="40">
        <v>116.53</v>
      </c>
      <c r="I32" s="40">
        <v>116.27</v>
      </c>
      <c r="J32" s="40">
        <v>116.53</v>
      </c>
      <c r="K32" s="40">
        <v>117.5</v>
      </c>
      <c r="L32" s="40">
        <v>118.03</v>
      </c>
      <c r="M32" s="40">
        <v>117.86</v>
      </c>
      <c r="N32" s="40">
        <v>117.41</v>
      </c>
      <c r="O32" s="40">
        <v>117.56</v>
      </c>
      <c r="P32" s="40">
        <v>118.19</v>
      </c>
      <c r="Q32" s="40">
        <v>118.55</v>
      </c>
      <c r="R32" s="40">
        <v>118.82</v>
      </c>
      <c r="S32" s="40">
        <v>119.16</v>
      </c>
      <c r="T32" s="40">
        <v>119.25</v>
      </c>
      <c r="U32" s="40">
        <v>119.23</v>
      </c>
      <c r="V32" s="40">
        <v>119.56</v>
      </c>
      <c r="W32" s="40">
        <v>119.38</v>
      </c>
      <c r="X32" s="40">
        <v>119.16</v>
      </c>
      <c r="Y32" s="40">
        <v>119.01</v>
      </c>
      <c r="Z32" s="40">
        <v>119.1</v>
      </c>
      <c r="AA32" s="40">
        <v>119.52</v>
      </c>
      <c r="AB32" s="40">
        <v>120.27</v>
      </c>
      <c r="AC32" s="40">
        <v>120.33</v>
      </c>
      <c r="AD32" s="41">
        <v>120.36</v>
      </c>
      <c r="AE32" s="21">
        <v>120.14</v>
      </c>
      <c r="AF32" s="21">
        <v>119.64</v>
      </c>
      <c r="AG32" s="21">
        <v>119.77</v>
      </c>
      <c r="AH32" s="21">
        <v>120.19</v>
      </c>
      <c r="AI32" s="21">
        <v>120.11</v>
      </c>
      <c r="AJ32" s="21">
        <v>120.54</v>
      </c>
    </row>
    <row r="33" spans="3:36" ht="17.25">
      <c r="C33" s="28" t="s">
        <v>74</v>
      </c>
      <c r="D33" s="40">
        <v>138.78</v>
      </c>
      <c r="E33" s="40">
        <v>136.19999999999999</v>
      </c>
      <c r="F33" s="40">
        <v>136.06</v>
      </c>
      <c r="G33" s="40">
        <v>136.21</v>
      </c>
      <c r="H33" s="40">
        <v>136.26</v>
      </c>
      <c r="I33" s="40">
        <v>136.26</v>
      </c>
      <c r="J33" s="40">
        <v>136.03</v>
      </c>
      <c r="K33" s="40">
        <v>135.66999999999999</v>
      </c>
      <c r="L33" s="40">
        <v>134.55000000000001</v>
      </c>
      <c r="M33" s="40">
        <v>134.41999999999999</v>
      </c>
      <c r="N33" s="40">
        <v>134.22</v>
      </c>
      <c r="O33" s="40">
        <v>131.88999999999999</v>
      </c>
      <c r="P33" s="40">
        <v>131.09</v>
      </c>
      <c r="Q33" s="40">
        <v>131.09</v>
      </c>
      <c r="R33" s="40">
        <v>131.01</v>
      </c>
      <c r="S33" s="40">
        <v>130</v>
      </c>
      <c r="T33" s="40">
        <v>129.88999999999999</v>
      </c>
      <c r="U33" s="40">
        <v>129.81</v>
      </c>
      <c r="V33" s="40">
        <v>129.78</v>
      </c>
      <c r="W33" s="40">
        <v>128.25</v>
      </c>
      <c r="X33" s="40">
        <v>127.84</v>
      </c>
      <c r="Y33" s="40">
        <v>127.67</v>
      </c>
      <c r="Z33" s="40">
        <v>127.67</v>
      </c>
      <c r="AA33" s="40">
        <v>127.64</v>
      </c>
      <c r="AB33" s="40">
        <v>127.9</v>
      </c>
      <c r="AC33" s="40">
        <v>128.57</v>
      </c>
      <c r="AD33" s="21">
        <v>129.5</v>
      </c>
      <c r="AE33" s="21">
        <v>129.69999999999999</v>
      </c>
      <c r="AF33" s="21">
        <v>130.82</v>
      </c>
      <c r="AG33" s="21">
        <v>130.88999999999999</v>
      </c>
      <c r="AH33" s="256">
        <v>130.82</v>
      </c>
      <c r="AI33" s="256">
        <v>130.78</v>
      </c>
      <c r="AJ33" s="256">
        <v>129.97999999999999</v>
      </c>
    </row>
    <row r="35" spans="3:36">
      <c r="R35" s="18">
        <f>(R32-F32)/F32*100</f>
        <v>1.5121742844938026</v>
      </c>
      <c r="S35" s="18">
        <f t="shared" ref="S35:AC35" si="12">(S32-G32)/G32*100</f>
        <v>1.8809849521203854</v>
      </c>
      <c r="T35" s="18">
        <f t="shared" si="12"/>
        <v>2.3341628765124853</v>
      </c>
      <c r="U35" s="18">
        <f t="shared" si="12"/>
        <v>2.5457985722886454</v>
      </c>
      <c r="V35" s="18">
        <f t="shared" si="12"/>
        <v>2.6001887925856013</v>
      </c>
      <c r="W35" s="18">
        <f t="shared" si="12"/>
        <v>1.5999999999999963</v>
      </c>
      <c r="X35" s="18">
        <f t="shared" si="12"/>
        <v>0.95738371600440175</v>
      </c>
      <c r="Y35" s="18">
        <f t="shared" si="12"/>
        <v>0.97573392160190542</v>
      </c>
      <c r="Z35" s="18">
        <f t="shared" si="12"/>
        <v>1.4394003917894538</v>
      </c>
      <c r="AA35" s="18">
        <f t="shared" si="12"/>
        <v>1.6672337529771979</v>
      </c>
      <c r="AB35" s="18">
        <f t="shared" si="12"/>
        <v>1.7598781622810713</v>
      </c>
      <c r="AC35" s="18">
        <f t="shared" si="12"/>
        <v>1.5014761703922406</v>
      </c>
      <c r="AD35" s="18">
        <f>(AD32-R32)/R32*100</f>
        <v>1.2960781013297478</v>
      </c>
      <c r="AE35" s="18">
        <f t="shared" ref="AE35:AF35" si="13">(AE32-S32)/S32*100</f>
        <v>0.8224236320913092</v>
      </c>
      <c r="AF35" s="18">
        <f t="shared" si="13"/>
        <v>0.32704402515723319</v>
      </c>
      <c r="AG35" s="18">
        <f>(AG32-U32)/U32*100</f>
        <v>0.45290614778159188</v>
      </c>
      <c r="AH35" s="18">
        <f t="shared" ref="AH35:AJ36" si="14">(AH32-V32)/V32*100</f>
        <v>0.52693208430912963</v>
      </c>
      <c r="AI35" s="18">
        <f t="shared" si="14"/>
        <v>0.61149271234713021</v>
      </c>
      <c r="AJ35" s="18">
        <f>(AJ32-X32)/X32*100</f>
        <v>1.1581067472306223</v>
      </c>
    </row>
    <row r="36" spans="3:36">
      <c r="R36" s="18">
        <f>(R33-F33)/F33*100</f>
        <v>-3.7115978244892043</v>
      </c>
      <c r="S36" s="18">
        <f t="shared" ref="S36:AC36" si="15">(S33-G33)/G33*100</f>
        <v>-4.5591366272667262</v>
      </c>
      <c r="T36" s="18">
        <f t="shared" si="15"/>
        <v>-4.6748862468809671</v>
      </c>
      <c r="U36" s="18">
        <f t="shared" si="15"/>
        <v>-4.733597534125928</v>
      </c>
      <c r="V36" s="18">
        <f t="shared" si="15"/>
        <v>-4.5945747261633461</v>
      </c>
      <c r="W36" s="18">
        <f t="shared" si="15"/>
        <v>-5.4691530920616112</v>
      </c>
      <c r="X36" s="18">
        <f t="shared" si="15"/>
        <v>-4.9869936826458616</v>
      </c>
      <c r="Y36" s="18">
        <f t="shared" si="15"/>
        <v>-5.0215741705103305</v>
      </c>
      <c r="Z36" s="18">
        <f t="shared" si="15"/>
        <v>-4.8800476829086552</v>
      </c>
      <c r="AA36" s="18">
        <f t="shared" si="15"/>
        <v>-3.2223822882705178</v>
      </c>
      <c r="AB36" s="18">
        <f t="shared" si="15"/>
        <v>-2.433442672972765</v>
      </c>
      <c r="AC36" s="18">
        <f t="shared" si="15"/>
        <v>-1.9223434281791212</v>
      </c>
      <c r="AD36" s="18">
        <f>(AD33-R33)/R33*100</f>
        <v>-1.1525837722311205</v>
      </c>
      <c r="AE36" s="18">
        <f t="shared" ref="AE36:AG36" si="16">(AE33-S33)/S33*100</f>
        <v>-0.2307692307692395</v>
      </c>
      <c r="AF36" s="18">
        <f t="shared" si="16"/>
        <v>0.71599045346062584</v>
      </c>
      <c r="AG36" s="18">
        <f t="shared" si="16"/>
        <v>0.83198520915182506</v>
      </c>
      <c r="AH36" s="18">
        <f t="shared" si="14"/>
        <v>0.80135614116196019</v>
      </c>
      <c r="AI36" s="18">
        <f t="shared" si="14"/>
        <v>1.9727095516569211</v>
      </c>
      <c r="AJ36" s="18">
        <f t="shared" si="14"/>
        <v>1.6739674593241445</v>
      </c>
    </row>
    <row r="37" spans="3:36">
      <c r="C37" s="38" t="s">
        <v>72</v>
      </c>
    </row>
    <row r="38" spans="3:36">
      <c r="C38" s="38"/>
      <c r="D38" s="36" t="s">
        <v>221</v>
      </c>
      <c r="E38" s="118" t="s">
        <v>30</v>
      </c>
      <c r="F38" s="118" t="s">
        <v>31</v>
      </c>
      <c r="G38" s="36" t="s">
        <v>222</v>
      </c>
      <c r="H38" s="118" t="s">
        <v>21</v>
      </c>
      <c r="I38" s="118" t="s">
        <v>22</v>
      </c>
      <c r="J38" s="36" t="s">
        <v>23</v>
      </c>
      <c r="K38" s="118" t="s">
        <v>24</v>
      </c>
      <c r="L38" s="118" t="s">
        <v>25</v>
      </c>
      <c r="M38" s="225" t="s">
        <v>26</v>
      </c>
      <c r="N38" s="225" t="s">
        <v>27</v>
      </c>
      <c r="O38" s="225" t="s">
        <v>28</v>
      </c>
    </row>
    <row r="39" spans="3:36">
      <c r="C39" s="118" t="s">
        <v>149</v>
      </c>
      <c r="D39" s="20">
        <v>0.97573392160190542</v>
      </c>
      <c r="E39" s="20">
        <v>1.4394003917894538</v>
      </c>
      <c r="F39" s="20">
        <v>1.6672337529771979</v>
      </c>
      <c r="G39" s="20">
        <v>1.7598781622810713</v>
      </c>
      <c r="H39" s="20">
        <v>1.5014761703922406</v>
      </c>
      <c r="I39" s="20">
        <v>1.2960781013297478</v>
      </c>
      <c r="J39" s="20">
        <v>0.8224236320913092</v>
      </c>
      <c r="K39" s="20">
        <v>0.32704402515723319</v>
      </c>
      <c r="L39" s="20">
        <v>0.45290614778159188</v>
      </c>
      <c r="M39" s="20">
        <f>AH35</f>
        <v>0.52693208430912963</v>
      </c>
      <c r="N39" s="20">
        <f t="shared" ref="N39" si="17">AI35</f>
        <v>0.61149271234713021</v>
      </c>
      <c r="O39" s="20">
        <f>AJ35</f>
        <v>1.1581067472306223</v>
      </c>
    </row>
    <row r="40" spans="3:36" s="86" customFormat="1">
      <c r="C40" s="118" t="s">
        <v>150</v>
      </c>
      <c r="D40" s="20">
        <v>-0.12588116817723352</v>
      </c>
      <c r="E40" s="20">
        <v>7.5623897151490788E-2</v>
      </c>
      <c r="F40" s="20">
        <v>0.3526448362720418</v>
      </c>
      <c r="G40" s="20">
        <v>0.6275100401606426</v>
      </c>
      <c r="H40" s="20">
        <v>4.988775255674921E-2</v>
      </c>
      <c r="I40" s="20">
        <v>2.4931438544004935E-2</v>
      </c>
      <c r="J40" s="20">
        <v>-0.18278497839813798</v>
      </c>
      <c r="K40" s="20">
        <v>-0.41618112202430502</v>
      </c>
      <c r="L40" s="20">
        <v>0.10865931126713094</v>
      </c>
      <c r="M40" s="20"/>
      <c r="N40" s="20"/>
      <c r="O40" s="20"/>
    </row>
    <row r="41" spans="3:36">
      <c r="C41" s="118" t="s">
        <v>74</v>
      </c>
      <c r="D41" s="20">
        <v>-5.0215741705103305</v>
      </c>
      <c r="E41" s="20">
        <v>-4.8800476829086552</v>
      </c>
      <c r="F41" s="20">
        <v>-3.2223822882705178</v>
      </c>
      <c r="G41" s="20">
        <v>-2.433442672972765</v>
      </c>
      <c r="H41" s="20">
        <v>-1.9223434281791212</v>
      </c>
      <c r="I41" s="20">
        <v>-1.1525837722311205</v>
      </c>
      <c r="J41" s="20">
        <v>-0.230769230769239</v>
      </c>
      <c r="K41" s="20">
        <v>0.71599045346062584</v>
      </c>
      <c r="L41" s="20">
        <v>0.83198520915182506</v>
      </c>
      <c r="M41" s="20">
        <f>AH36</f>
        <v>0.80135614116196019</v>
      </c>
      <c r="N41" s="20">
        <f t="shared" ref="N41:O41" si="18">AI36</f>
        <v>1.9727095516569211</v>
      </c>
      <c r="O41" s="20">
        <f t="shared" si="18"/>
        <v>1.6739674593241445</v>
      </c>
    </row>
    <row r="42" spans="3:36">
      <c r="AE42" s="11">
        <v>138.44</v>
      </c>
      <c r="AF42" s="11">
        <v>136.88</v>
      </c>
    </row>
    <row r="43" spans="3:36">
      <c r="AF43" s="11">
        <f>(AF42-AE42)/AE42*100</f>
        <v>-1.1268419531927205</v>
      </c>
    </row>
    <row r="45" spans="3:36">
      <c r="C45" s="255" t="s">
        <v>366</v>
      </c>
    </row>
    <row r="46" spans="3:36">
      <c r="C46" s="37" t="s">
        <v>65</v>
      </c>
      <c r="D46" s="36" t="s">
        <v>67</v>
      </c>
      <c r="E46" s="28" t="s">
        <v>61</v>
      </c>
      <c r="F46" s="28" t="s">
        <v>63</v>
      </c>
      <c r="G46" s="28" t="s">
        <v>23</v>
      </c>
      <c r="H46" s="28" t="s">
        <v>24</v>
      </c>
      <c r="I46" s="28" t="s">
        <v>25</v>
      </c>
      <c r="J46" s="28" t="s">
        <v>26</v>
      </c>
      <c r="K46" s="28" t="s">
        <v>27</v>
      </c>
      <c r="L46" s="28" t="s">
        <v>28</v>
      </c>
      <c r="M46" s="28" t="s">
        <v>29</v>
      </c>
      <c r="N46" s="28" t="s">
        <v>30</v>
      </c>
      <c r="O46" s="28" t="s">
        <v>31</v>
      </c>
      <c r="P46" s="28" t="s">
        <v>68</v>
      </c>
      <c r="Q46" s="28" t="s">
        <v>21</v>
      </c>
      <c r="R46" s="118" t="s">
        <v>22</v>
      </c>
      <c r="S46" s="118" t="s">
        <v>23</v>
      </c>
      <c r="T46" s="118" t="s">
        <v>24</v>
      </c>
      <c r="U46" s="118" t="s">
        <v>25</v>
      </c>
      <c r="V46" s="225" t="s">
        <v>26</v>
      </c>
      <c r="W46" s="225" t="s">
        <v>27</v>
      </c>
      <c r="X46" s="225" t="s">
        <v>28</v>
      </c>
    </row>
    <row r="47" spans="3:36">
      <c r="C47" s="28" t="s">
        <v>75</v>
      </c>
      <c r="D47" s="42">
        <v>104.96</v>
      </c>
      <c r="E47" s="42">
        <v>103.26</v>
      </c>
      <c r="F47" s="42">
        <v>101.24</v>
      </c>
      <c r="G47" s="42">
        <v>97.65</v>
      </c>
      <c r="H47" s="42">
        <v>100.38</v>
      </c>
      <c r="I47" s="42">
        <v>100.55</v>
      </c>
      <c r="J47" s="42">
        <v>100.35</v>
      </c>
      <c r="K47" s="42">
        <v>98.78</v>
      </c>
      <c r="L47" s="42">
        <v>98.35</v>
      </c>
      <c r="M47" s="42">
        <v>99.18</v>
      </c>
      <c r="N47" s="42">
        <v>99.88</v>
      </c>
      <c r="O47" s="42">
        <v>99.38</v>
      </c>
      <c r="P47" s="42">
        <v>98.77</v>
      </c>
      <c r="Q47" s="42">
        <v>99.88</v>
      </c>
      <c r="R47" s="42">
        <v>100.89</v>
      </c>
      <c r="S47" s="42">
        <v>102.05</v>
      </c>
      <c r="T47" s="42">
        <v>102.76</v>
      </c>
      <c r="U47" s="42">
        <v>104.69</v>
      </c>
      <c r="V47" s="323">
        <v>107.93</v>
      </c>
      <c r="W47" s="323">
        <v>109.69</v>
      </c>
      <c r="X47" s="323">
        <v>113.98</v>
      </c>
    </row>
    <row r="48" spans="3:36">
      <c r="C48" s="39" t="s">
        <v>76</v>
      </c>
      <c r="D48" s="42">
        <v>123.65</v>
      </c>
      <c r="E48" s="42">
        <v>132</v>
      </c>
      <c r="F48" s="42">
        <v>131.9</v>
      </c>
      <c r="G48" s="42">
        <v>124.29</v>
      </c>
      <c r="H48" s="42">
        <v>113.46</v>
      </c>
      <c r="I48" s="42">
        <v>99.93</v>
      </c>
      <c r="J48" s="42">
        <v>106.18</v>
      </c>
      <c r="K48" s="42">
        <v>123.52</v>
      </c>
      <c r="L48" s="42">
        <v>146.5</v>
      </c>
      <c r="M48" s="42">
        <v>148.24</v>
      </c>
      <c r="N48" s="42">
        <v>127.28</v>
      </c>
      <c r="O48" s="42">
        <v>123.62</v>
      </c>
      <c r="P48" s="42">
        <v>129.09</v>
      </c>
      <c r="Q48" s="42">
        <v>133.78</v>
      </c>
      <c r="R48" s="42">
        <v>134.24</v>
      </c>
      <c r="S48" s="42">
        <v>122</v>
      </c>
      <c r="T48" s="42">
        <v>107.28</v>
      </c>
      <c r="U48" s="42">
        <v>100.12</v>
      </c>
      <c r="V48" s="323">
        <v>104.55</v>
      </c>
      <c r="W48" s="323">
        <v>124.62</v>
      </c>
      <c r="X48" s="323">
        <v>128.52000000000001</v>
      </c>
    </row>
    <row r="49" spans="3:24">
      <c r="C49" s="28" t="s">
        <v>77</v>
      </c>
      <c r="D49" s="42">
        <v>149.99</v>
      </c>
      <c r="E49" s="42">
        <v>162.91</v>
      </c>
      <c r="F49" s="42">
        <v>168.62</v>
      </c>
      <c r="G49" s="42">
        <v>163.55000000000001</v>
      </c>
      <c r="H49" s="42">
        <v>163.75</v>
      </c>
      <c r="I49" s="42">
        <v>158.97</v>
      </c>
      <c r="J49" s="42">
        <v>155.76</v>
      </c>
      <c r="K49" s="42">
        <v>154.61000000000001</v>
      </c>
      <c r="L49" s="42">
        <v>143.94999999999999</v>
      </c>
      <c r="M49" s="42">
        <v>131.97999999999999</v>
      </c>
      <c r="N49" s="42">
        <v>122.53</v>
      </c>
      <c r="O49" s="42">
        <v>140.13999999999999</v>
      </c>
      <c r="P49" s="42">
        <v>146.12</v>
      </c>
      <c r="Q49" s="42">
        <v>154.21</v>
      </c>
      <c r="R49" s="42">
        <v>158.5</v>
      </c>
      <c r="S49" s="42">
        <v>154.69999999999999</v>
      </c>
      <c r="T49" s="42">
        <v>148.13999999999999</v>
      </c>
      <c r="U49" s="42">
        <v>147.19</v>
      </c>
      <c r="V49" s="323">
        <v>149.86000000000001</v>
      </c>
      <c r="W49" s="323">
        <v>154.93</v>
      </c>
      <c r="X49" s="323">
        <v>148.54</v>
      </c>
    </row>
    <row r="50" spans="3:24">
      <c r="C50" s="28" t="s">
        <v>78</v>
      </c>
      <c r="D50" s="42">
        <v>107.46</v>
      </c>
      <c r="E50" s="42">
        <v>105.13</v>
      </c>
      <c r="F50" s="42">
        <v>103.5</v>
      </c>
      <c r="G50" s="42">
        <v>100.95</v>
      </c>
      <c r="H50" s="42">
        <v>99.4</v>
      </c>
      <c r="I50" s="42">
        <v>100.2</v>
      </c>
      <c r="J50" s="42">
        <v>99.52</v>
      </c>
      <c r="K50" s="42">
        <v>99.33</v>
      </c>
      <c r="L50" s="42">
        <v>102.74</v>
      </c>
      <c r="M50" s="42">
        <v>105.02</v>
      </c>
      <c r="N50" s="42">
        <v>104.45</v>
      </c>
      <c r="O50" s="42">
        <v>105.92</v>
      </c>
      <c r="P50" s="42">
        <v>108.35</v>
      </c>
      <c r="Q50" s="42">
        <v>107.58</v>
      </c>
      <c r="R50" s="42">
        <v>104.52</v>
      </c>
      <c r="S50" s="42">
        <v>105.19</v>
      </c>
      <c r="T50" s="42">
        <v>104.65</v>
      </c>
      <c r="U50" s="42">
        <v>103.48</v>
      </c>
      <c r="V50" s="323">
        <v>104.43</v>
      </c>
      <c r="W50" s="323">
        <v>105.93</v>
      </c>
      <c r="X50" s="323">
        <v>107.64</v>
      </c>
    </row>
    <row r="51" spans="3:24">
      <c r="C51" s="28" t="s">
        <v>79</v>
      </c>
      <c r="D51" s="42">
        <v>136.53</v>
      </c>
      <c r="E51" s="42">
        <v>136.44999999999999</v>
      </c>
      <c r="F51" s="42">
        <v>134.38</v>
      </c>
      <c r="G51" s="42">
        <v>133.78</v>
      </c>
      <c r="H51" s="42">
        <v>134.31</v>
      </c>
      <c r="I51" s="42">
        <v>134.38</v>
      </c>
      <c r="J51" s="42">
        <v>134.75</v>
      </c>
      <c r="K51" s="42">
        <v>134.49</v>
      </c>
      <c r="L51" s="42">
        <v>133.65</v>
      </c>
      <c r="M51" s="42">
        <v>135.22999999999999</v>
      </c>
      <c r="N51" s="42">
        <v>134.38</v>
      </c>
      <c r="O51" s="42">
        <v>134.37</v>
      </c>
      <c r="P51" s="42">
        <v>133.29</v>
      </c>
      <c r="Q51" s="42">
        <v>132.71</v>
      </c>
      <c r="R51" s="42">
        <v>131.93</v>
      </c>
      <c r="S51" s="42">
        <v>136.97999999999999</v>
      </c>
      <c r="T51" s="42">
        <v>139.36000000000001</v>
      </c>
      <c r="U51" s="42">
        <v>142.49</v>
      </c>
      <c r="V51" s="323">
        <v>144.79</v>
      </c>
      <c r="W51" s="323">
        <v>145.31</v>
      </c>
      <c r="X51" s="323">
        <v>145.9</v>
      </c>
    </row>
    <row r="53" spans="3:24">
      <c r="C53" s="37" t="s">
        <v>80</v>
      </c>
      <c r="D53" s="118" t="s">
        <v>68</v>
      </c>
      <c r="E53" s="118" t="s">
        <v>21</v>
      </c>
      <c r="F53" s="118" t="s">
        <v>22</v>
      </c>
      <c r="G53" s="118" t="s">
        <v>23</v>
      </c>
      <c r="H53" s="118" t="s">
        <v>24</v>
      </c>
      <c r="I53" s="118" t="s">
        <v>25</v>
      </c>
      <c r="J53" s="225" t="s">
        <v>26</v>
      </c>
      <c r="K53" s="225" t="s">
        <v>27</v>
      </c>
      <c r="L53" s="225" t="s">
        <v>28</v>
      </c>
      <c r="V53" s="18">
        <f>(V49-U49)/U49*100</f>
        <v>1.8139819281201275</v>
      </c>
      <c r="W53" s="18">
        <f t="shared" ref="W53:X53" si="19">(W49-V49)/V49*100</f>
        <v>3.3831576137728496</v>
      </c>
      <c r="X53" s="18">
        <f t="shared" si="19"/>
        <v>-4.124443296972836</v>
      </c>
    </row>
    <row r="54" spans="3:24">
      <c r="C54" s="28" t="s">
        <v>75</v>
      </c>
      <c r="D54" s="20">
        <f>(P47-D47)/D47*100</f>
        <v>-5.8974847560975592</v>
      </c>
      <c r="E54" s="20">
        <f>(Q47-E47)/E47*100</f>
        <v>-3.273290722448198</v>
      </c>
      <c r="F54" s="20">
        <f>(R47-F47)/F47*100</f>
        <v>-0.34571315685499243</v>
      </c>
      <c r="G54" s="20">
        <f t="shared" ref="G54:I58" si="20">(S47-G47)/G47*100</f>
        <v>4.5058883768561095</v>
      </c>
      <c r="H54" s="20">
        <f t="shared" si="20"/>
        <v>2.3709902370990332</v>
      </c>
      <c r="I54" s="20">
        <f t="shared" si="20"/>
        <v>4.1173545499751372</v>
      </c>
      <c r="J54" s="20">
        <f t="shared" ref="J54:J58" si="21">(V47-J47)/J47*100</f>
        <v>7.5535625311410195</v>
      </c>
      <c r="K54" s="20">
        <f t="shared" ref="K54:K58" si="22">(W47-K47)/K47*100</f>
        <v>11.04474589997975</v>
      </c>
      <c r="L54" s="20">
        <f t="shared" ref="L54:L58" si="23">(X47-L47)/L47*100</f>
        <v>15.892221657346223</v>
      </c>
    </row>
    <row r="55" spans="3:24">
      <c r="C55" s="39" t="s">
        <v>76</v>
      </c>
      <c r="D55" s="20">
        <f>(P48-D48)/D48*100</f>
        <v>4.3995147594015345</v>
      </c>
      <c r="E55" s="20">
        <f t="shared" ref="E55:F58" si="24">(Q48-E48)/E48*100</f>
        <v>1.3484848484848493</v>
      </c>
      <c r="F55" s="20">
        <f t="shared" si="24"/>
        <v>1.7740712661106925</v>
      </c>
      <c r="G55" s="20">
        <f t="shared" si="20"/>
        <v>-1.8424652023493491</v>
      </c>
      <c r="H55" s="20">
        <f t="shared" si="20"/>
        <v>-5.4468535166578462</v>
      </c>
      <c r="I55" s="20">
        <f>(U48-I48)/I48*100</f>
        <v>0.19013309316521337</v>
      </c>
      <c r="J55" s="20">
        <f>(V48-J48)/J48*100</f>
        <v>-1.5351290261819643</v>
      </c>
      <c r="K55" s="20">
        <f t="shared" si="22"/>
        <v>0.89054404145078414</v>
      </c>
      <c r="L55" s="20">
        <f>(X48-L48)/L48*100</f>
        <v>-12.273037542662109</v>
      </c>
    </row>
    <row r="56" spans="3:24">
      <c r="C56" s="28" t="s">
        <v>77</v>
      </c>
      <c r="D56" s="20">
        <f>(P49-D49)/D49*100</f>
        <v>-2.5801720114674338</v>
      </c>
      <c r="E56" s="20">
        <f t="shared" si="24"/>
        <v>-5.3403719845313296</v>
      </c>
      <c r="F56" s="20">
        <f t="shared" si="24"/>
        <v>-6.0016605384889132</v>
      </c>
      <c r="G56" s="20">
        <f t="shared" si="20"/>
        <v>-5.4111892387649174</v>
      </c>
      <c r="H56" s="20">
        <f t="shared" si="20"/>
        <v>-9.5328244274809233</v>
      </c>
      <c r="I56" s="20">
        <f t="shared" si="20"/>
        <v>-7.410203182990502</v>
      </c>
      <c r="J56" s="20">
        <f t="shared" si="21"/>
        <v>-3.7878787878787734</v>
      </c>
      <c r="K56" s="20">
        <f t="shared" si="22"/>
        <v>0.20697238212275607</v>
      </c>
      <c r="L56" s="20">
        <f>(X49-L49)/L49*100</f>
        <v>3.1886071552622464</v>
      </c>
    </row>
    <row r="57" spans="3:24">
      <c r="C57" s="28" t="s">
        <v>78</v>
      </c>
      <c r="D57" s="20">
        <f>(P50-D50)/D50*100</f>
        <v>0.82821514982319067</v>
      </c>
      <c r="E57" s="20">
        <f t="shared" si="24"/>
        <v>2.3304480167411805</v>
      </c>
      <c r="F57" s="20">
        <f t="shared" si="24"/>
        <v>0.98550724637680776</v>
      </c>
      <c r="G57" s="20">
        <f t="shared" si="20"/>
        <v>4.2000990589400642</v>
      </c>
      <c r="H57" s="20">
        <f t="shared" si="20"/>
        <v>5.28169014084507</v>
      </c>
      <c r="I57" s="20">
        <f t="shared" si="20"/>
        <v>3.2734530938123765</v>
      </c>
      <c r="J57" s="20">
        <f t="shared" si="21"/>
        <v>4.9336816720257346</v>
      </c>
      <c r="K57" s="20">
        <f t="shared" si="22"/>
        <v>6.6445182724252581</v>
      </c>
      <c r="L57" s="20">
        <f t="shared" si="23"/>
        <v>4.7693206151450322</v>
      </c>
    </row>
    <row r="58" spans="3:24">
      <c r="C58" s="28" t="s">
        <v>79</v>
      </c>
      <c r="D58" s="20">
        <f>(P51-D51)/D51*100</f>
        <v>-2.3731048121292089</v>
      </c>
      <c r="E58" s="20">
        <f t="shared" si="24"/>
        <v>-2.7409307438622066</v>
      </c>
      <c r="F58" s="20">
        <f t="shared" si="24"/>
        <v>-1.823187974400944</v>
      </c>
      <c r="G58" s="20">
        <f t="shared" si="20"/>
        <v>2.3919868440723491</v>
      </c>
      <c r="H58" s="20">
        <f t="shared" si="20"/>
        <v>3.7599583054128591</v>
      </c>
      <c r="I58" s="20">
        <f t="shared" si="20"/>
        <v>6.0351242744456117</v>
      </c>
      <c r="J58" s="20">
        <f t="shared" si="21"/>
        <v>7.4508348794063028</v>
      </c>
      <c r="K58" s="20">
        <f t="shared" si="22"/>
        <v>8.0452078221429044</v>
      </c>
      <c r="L58" s="20">
        <f t="shared" si="23"/>
        <v>9.1657313879536098</v>
      </c>
    </row>
    <row r="61" spans="3:24">
      <c r="C61" s="38" t="s">
        <v>72</v>
      </c>
      <c r="D61" s="36" t="s">
        <v>67</v>
      </c>
      <c r="E61" s="28" t="s">
        <v>61</v>
      </c>
      <c r="F61" s="28" t="s">
        <v>63</v>
      </c>
      <c r="G61" s="28" t="s">
        <v>23</v>
      </c>
      <c r="H61" s="28" t="s">
        <v>24</v>
      </c>
      <c r="I61" s="28" t="s">
        <v>25</v>
      </c>
      <c r="J61" s="28" t="s">
        <v>26</v>
      </c>
      <c r="K61" s="28" t="s">
        <v>27</v>
      </c>
      <c r="L61" s="28" t="s">
        <v>28</v>
      </c>
      <c r="M61" s="28" t="s">
        <v>29</v>
      </c>
      <c r="N61" s="28" t="s">
        <v>30</v>
      </c>
      <c r="O61" s="28" t="s">
        <v>31</v>
      </c>
      <c r="P61" s="28" t="s">
        <v>68</v>
      </c>
      <c r="Q61" s="28" t="s">
        <v>21</v>
      </c>
      <c r="R61" s="118" t="s">
        <v>22</v>
      </c>
      <c r="S61" s="118" t="s">
        <v>23</v>
      </c>
      <c r="T61" s="118" t="s">
        <v>24</v>
      </c>
      <c r="U61" s="235" t="s">
        <v>25</v>
      </c>
      <c r="V61" s="235" t="s">
        <v>26</v>
      </c>
      <c r="W61" s="235" t="s">
        <v>27</v>
      </c>
      <c r="X61" s="235" t="s">
        <v>28</v>
      </c>
    </row>
    <row r="62" spans="3:24" ht="17.25">
      <c r="C62" s="28" t="s">
        <v>81</v>
      </c>
      <c r="D62" s="40">
        <v>129.62</v>
      </c>
      <c r="E62" s="40">
        <v>129.62</v>
      </c>
      <c r="F62" s="40">
        <v>129.57</v>
      </c>
      <c r="G62" s="40">
        <v>128.22</v>
      </c>
      <c r="H62" s="40">
        <v>128.22</v>
      </c>
      <c r="I62" s="40">
        <v>128.22</v>
      </c>
      <c r="J62" s="40">
        <v>128.18</v>
      </c>
      <c r="K62" s="40">
        <v>126.18</v>
      </c>
      <c r="L62" s="40">
        <v>125.54</v>
      </c>
      <c r="M62" s="40">
        <v>125.29</v>
      </c>
      <c r="N62" s="40">
        <v>125.33</v>
      </c>
      <c r="O62" s="40">
        <v>125.34</v>
      </c>
      <c r="P62" s="40">
        <v>125.31</v>
      </c>
      <c r="Q62" s="40">
        <v>125.95</v>
      </c>
      <c r="R62" s="21">
        <v>126.86</v>
      </c>
      <c r="S62" s="21">
        <v>127.01</v>
      </c>
      <c r="T62" s="21">
        <v>128.80000000000001</v>
      </c>
      <c r="U62" s="21">
        <v>128.88999999999999</v>
      </c>
      <c r="V62" s="40">
        <v>128.82</v>
      </c>
      <c r="W62" s="40">
        <v>128.86000000000001</v>
      </c>
      <c r="X62" s="40">
        <v>127.78</v>
      </c>
    </row>
    <row r="63" spans="3:24" ht="17.25">
      <c r="C63" s="28" t="s">
        <v>82</v>
      </c>
      <c r="D63" s="40">
        <v>137.16</v>
      </c>
      <c r="E63" s="40">
        <v>137.16</v>
      </c>
      <c r="F63" s="40">
        <v>136.97999999999999</v>
      </c>
      <c r="G63" s="40">
        <v>136.01</v>
      </c>
      <c r="H63" s="40">
        <v>135.97</v>
      </c>
      <c r="I63" s="40">
        <v>135.91</v>
      </c>
      <c r="J63" s="40">
        <v>136.15</v>
      </c>
      <c r="K63" s="40">
        <v>134.93</v>
      </c>
      <c r="L63" s="40">
        <v>134.41999999999999</v>
      </c>
      <c r="M63" s="40">
        <v>134.28</v>
      </c>
      <c r="N63" s="40">
        <v>134.38</v>
      </c>
      <c r="O63" s="40">
        <v>134.22999999999999</v>
      </c>
      <c r="P63" s="40">
        <v>134.04</v>
      </c>
      <c r="Q63" s="40">
        <v>135.12</v>
      </c>
      <c r="R63" s="21">
        <v>136.46</v>
      </c>
      <c r="S63" s="21">
        <v>136.85</v>
      </c>
      <c r="T63" s="21">
        <v>137.66999999999999</v>
      </c>
      <c r="U63" s="21">
        <v>137.75</v>
      </c>
      <c r="V63" s="40">
        <v>137.72999999999999</v>
      </c>
      <c r="W63" s="40">
        <v>137.69</v>
      </c>
      <c r="X63" s="40">
        <v>136.69</v>
      </c>
    </row>
    <row r="66" spans="3:15">
      <c r="C66" s="38" t="s">
        <v>72</v>
      </c>
      <c r="D66" s="118" t="s">
        <v>68</v>
      </c>
      <c r="E66" s="118" t="s">
        <v>21</v>
      </c>
      <c r="F66" s="118" t="s">
        <v>22</v>
      </c>
      <c r="G66" s="118" t="s">
        <v>23</v>
      </c>
      <c r="H66" s="118" t="s">
        <v>24</v>
      </c>
      <c r="I66" s="118" t="s">
        <v>25</v>
      </c>
      <c r="J66" s="225" t="s">
        <v>26</v>
      </c>
      <c r="K66" s="225" t="s">
        <v>27</v>
      </c>
      <c r="L66" s="225" t="s">
        <v>28</v>
      </c>
    </row>
    <row r="67" spans="3:15">
      <c r="C67" s="28" t="s">
        <v>81</v>
      </c>
      <c r="D67" s="20">
        <f t="shared" ref="D67:F68" si="25">(P62-D62)/D62*100</f>
        <v>-3.3251041505940457</v>
      </c>
      <c r="E67" s="20">
        <f t="shared" si="25"/>
        <v>-2.8313531862366932</v>
      </c>
      <c r="F67" s="20">
        <f t="shared" si="25"/>
        <v>-2.0915335339970627</v>
      </c>
      <c r="G67" s="20">
        <f t="shared" ref="G67:G68" si="26">(S62-G62)/G62*100</f>
        <v>-0.94369053189829499</v>
      </c>
      <c r="H67" s="20">
        <f>(T62-H62)/H62*100</f>
        <v>0.45234752768679809</v>
      </c>
      <c r="I67" s="20">
        <f>(U62-I62)/I62*100</f>
        <v>0.5225393854312802</v>
      </c>
      <c r="J67" s="20">
        <f t="shared" ref="J67:L67" si="27">(V62-J62)/J62*100</f>
        <v>0.49929786238101603</v>
      </c>
      <c r="K67" s="20">
        <f t="shared" si="27"/>
        <v>2.1239499128229569</v>
      </c>
      <c r="L67" s="20">
        <f t="shared" si="27"/>
        <v>1.7842918591683885</v>
      </c>
    </row>
    <row r="68" spans="3:15">
      <c r="C68" s="28" t="s">
        <v>82</v>
      </c>
      <c r="D68" s="20">
        <f>(P63-D63)/D63*100</f>
        <v>-2.2747156605424355</v>
      </c>
      <c r="E68" s="20">
        <f t="shared" si="25"/>
        <v>-1.4873140857392768</v>
      </c>
      <c r="F68" s="20">
        <f t="shared" si="25"/>
        <v>-0.37961746240325728</v>
      </c>
      <c r="G68" s="20">
        <f t="shared" si="26"/>
        <v>0.61760164693772768</v>
      </c>
      <c r="H68" s="20">
        <f t="shared" ref="H68" si="28">(T63-H63)/H63*100</f>
        <v>1.2502757961314912</v>
      </c>
      <c r="I68" s="20">
        <f>(U63-I63)/I63*100</f>
        <v>1.3538370980796139</v>
      </c>
      <c r="J68" s="20">
        <f t="shared" ref="J68:L68" si="29">(V63-J63)/J63*100</f>
        <v>1.16048475945647</v>
      </c>
      <c r="K68" s="20">
        <f t="shared" si="29"/>
        <v>2.0455050767064336</v>
      </c>
      <c r="L68" s="20">
        <f t="shared" si="29"/>
        <v>1.6887367951197816</v>
      </c>
    </row>
    <row r="70" spans="3:15">
      <c r="M70" s="124"/>
      <c r="N70" s="124"/>
      <c r="O70" s="124"/>
    </row>
    <row r="71" spans="3:15">
      <c r="C71" s="21"/>
      <c r="D71" s="36" t="s">
        <v>222</v>
      </c>
      <c r="E71" s="118" t="s">
        <v>21</v>
      </c>
      <c r="F71" s="118" t="s">
        <v>22</v>
      </c>
      <c r="G71" s="36" t="s">
        <v>23</v>
      </c>
      <c r="H71" s="118" t="s">
        <v>24</v>
      </c>
      <c r="I71" s="118" t="s">
        <v>25</v>
      </c>
      <c r="J71" s="118" t="s">
        <v>26</v>
      </c>
      <c r="K71" s="118" t="s">
        <v>27</v>
      </c>
      <c r="L71" s="118" t="s">
        <v>28</v>
      </c>
      <c r="M71" s="225"/>
      <c r="N71" s="225"/>
      <c r="O71" s="225"/>
    </row>
    <row r="72" spans="3:15">
      <c r="C72" s="85" t="s">
        <v>412</v>
      </c>
      <c r="D72" s="130">
        <f>G15</f>
        <v>0.61079325807947427</v>
      </c>
      <c r="E72" s="130">
        <f t="shared" ref="E72:K72" si="30">H15</f>
        <v>-1.1995318899941387</v>
      </c>
      <c r="F72" s="130">
        <f t="shared" si="30"/>
        <v>-1.1268419531927205</v>
      </c>
      <c r="G72" s="130">
        <f t="shared" si="30"/>
        <v>-1.532797355173185</v>
      </c>
      <c r="H72" s="130">
        <f t="shared" si="30"/>
        <v>-4.7417116422513432</v>
      </c>
      <c r="I72" s="130">
        <f t="shared" si="30"/>
        <v>-1.7836781234728765</v>
      </c>
      <c r="J72" s="130">
        <f t="shared" si="30"/>
        <v>-9.6860117846480381E-2</v>
      </c>
      <c r="K72" s="130">
        <f t="shared" si="30"/>
        <v>2.732871439568886</v>
      </c>
      <c r="L72" s="130">
        <f>O15</f>
        <v>-1.2300852167469409</v>
      </c>
      <c r="M72" s="130"/>
      <c r="N72" s="130"/>
      <c r="O72" s="130"/>
    </row>
    <row r="73" spans="3:15">
      <c r="C73" s="85" t="s">
        <v>148</v>
      </c>
      <c r="D73" s="130">
        <v>-2.433442672972765</v>
      </c>
      <c r="E73" s="130">
        <v>-1.9223434281791212</v>
      </c>
      <c r="F73" s="130">
        <v>-1.1525837722311205</v>
      </c>
      <c r="G73" s="130">
        <v>-0.230769230769239</v>
      </c>
      <c r="H73" s="130">
        <v>0.71599045346062584</v>
      </c>
      <c r="I73" s="130">
        <v>0.83198520915182506</v>
      </c>
      <c r="J73" s="130">
        <v>0.80135614116196019</v>
      </c>
      <c r="K73" s="130">
        <v>1.9727095516569211</v>
      </c>
      <c r="L73" s="130">
        <v>1.6739674593241445</v>
      </c>
      <c r="M73" s="130"/>
      <c r="N73" s="130"/>
      <c r="O73" s="130"/>
    </row>
    <row r="74" spans="3:15">
      <c r="M74" s="124"/>
      <c r="N74" s="124"/>
      <c r="O74" s="124"/>
    </row>
  </sheetData>
  <mergeCells count="2">
    <mergeCell ref="A15:B15"/>
    <mergeCell ref="A16:B1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2"/>
  <sheetViews>
    <sheetView topLeftCell="B1" workbookViewId="0">
      <selection activeCell="B31" sqref="B31"/>
    </sheetView>
  </sheetViews>
  <sheetFormatPr defaultRowHeight="16.5"/>
  <cols>
    <col min="3" max="3" width="11.75" bestFit="1" customWidth="1"/>
  </cols>
  <sheetData>
    <row r="1" spans="1:19" s="5" customFormat="1" ht="17.25">
      <c r="A1" s="1" t="s">
        <v>135</v>
      </c>
      <c r="B1" s="16"/>
      <c r="C1" s="7"/>
      <c r="D1" s="7"/>
      <c r="E1" s="16"/>
      <c r="F1" s="16"/>
    </row>
    <row r="2" spans="1:19" s="5" customFormat="1" ht="17.25">
      <c r="A2" s="3" t="s">
        <v>359</v>
      </c>
      <c r="B2" s="16"/>
      <c r="C2" s="7"/>
      <c r="D2" s="7"/>
      <c r="E2" s="16"/>
      <c r="F2" s="16"/>
    </row>
    <row r="3" spans="1:19" s="5" customFormat="1" ht="17.25">
      <c r="A3" s="3"/>
      <c r="B3" s="16"/>
      <c r="C3" s="7"/>
      <c r="D3" s="7"/>
      <c r="E3" s="16"/>
      <c r="F3" s="16"/>
    </row>
    <row r="4" spans="1:19" s="5" customFormat="1" ht="17.25">
      <c r="A4" s="3"/>
      <c r="B4" s="16"/>
      <c r="C4" s="7"/>
      <c r="D4" s="7"/>
      <c r="E4" s="16"/>
      <c r="F4" s="16"/>
    </row>
    <row r="6" spans="1:19">
      <c r="C6" s="43" t="s">
        <v>85</v>
      </c>
      <c r="D6" s="67" t="s">
        <v>46</v>
      </c>
      <c r="E6" s="67" t="s">
        <v>47</v>
      </c>
      <c r="F6" s="67" t="s">
        <v>48</v>
      </c>
      <c r="G6" s="67" t="s">
        <v>49</v>
      </c>
      <c r="H6" s="36" t="s">
        <v>242</v>
      </c>
      <c r="I6" s="139" t="s">
        <v>30</v>
      </c>
      <c r="J6" s="139" t="s">
        <v>110</v>
      </c>
      <c r="K6" s="36" t="s">
        <v>113</v>
      </c>
      <c r="L6" s="139" t="s">
        <v>111</v>
      </c>
      <c r="M6" s="139" t="s">
        <v>112</v>
      </c>
      <c r="N6" s="139" t="s">
        <v>23</v>
      </c>
      <c r="O6" s="139" t="s">
        <v>24</v>
      </c>
      <c r="P6" s="139" t="s">
        <v>25</v>
      </c>
      <c r="Q6" s="225" t="s">
        <v>26</v>
      </c>
      <c r="R6" s="225" t="s">
        <v>27</v>
      </c>
      <c r="S6" s="225" t="s">
        <v>28</v>
      </c>
    </row>
    <row r="7" spans="1:19">
      <c r="C7" s="44" t="s">
        <v>83</v>
      </c>
      <c r="D7" s="68">
        <v>86.63</v>
      </c>
      <c r="E7" s="135">
        <v>90.87</v>
      </c>
      <c r="F7" s="135">
        <v>84.67</v>
      </c>
      <c r="G7" s="135">
        <v>84.11</v>
      </c>
      <c r="H7" s="135">
        <v>76.069999999999993</v>
      </c>
      <c r="I7" s="135">
        <v>74.09</v>
      </c>
      <c r="J7" s="135">
        <v>74</v>
      </c>
      <c r="K7" s="135">
        <v>80.8</v>
      </c>
      <c r="L7" s="135">
        <v>76.319999999999993</v>
      </c>
      <c r="M7" s="135">
        <v>72.98</v>
      </c>
      <c r="N7" s="136">
        <v>68.489999999999995</v>
      </c>
      <c r="O7" s="136">
        <v>63.61</v>
      </c>
      <c r="P7" s="20">
        <v>69.36</v>
      </c>
      <c r="Q7" s="20">
        <v>71.040000000000006</v>
      </c>
      <c r="R7" s="20">
        <v>69.39</v>
      </c>
      <c r="S7" s="20">
        <v>69.92</v>
      </c>
    </row>
    <row r="11" spans="1:19">
      <c r="C11" s="43" t="s">
        <v>116</v>
      </c>
      <c r="D11" s="36" t="s">
        <v>113</v>
      </c>
      <c r="E11" s="225" t="s">
        <v>111</v>
      </c>
      <c r="F11" s="225" t="s">
        <v>112</v>
      </c>
      <c r="G11" s="229" t="s">
        <v>23</v>
      </c>
      <c r="H11" s="229" t="s">
        <v>24</v>
      </c>
      <c r="I11" s="229" t="s">
        <v>25</v>
      </c>
      <c r="J11" s="134" t="s">
        <v>26</v>
      </c>
      <c r="K11" s="134" t="s">
        <v>27</v>
      </c>
      <c r="L11" s="134" t="s">
        <v>28</v>
      </c>
    </row>
    <row r="12" spans="1:19">
      <c r="C12" s="69" t="s">
        <v>86</v>
      </c>
      <c r="D12" s="131">
        <v>1709.29</v>
      </c>
      <c r="E12" s="131">
        <v>1728.26</v>
      </c>
      <c r="F12" s="131">
        <v>1688.93</v>
      </c>
      <c r="G12" s="131">
        <v>1646.69</v>
      </c>
      <c r="H12" s="131">
        <v>1636.45</v>
      </c>
      <c r="I12" s="131">
        <v>1642.08</v>
      </c>
      <c r="J12" s="233">
        <v>1667.58</v>
      </c>
      <c r="K12" s="233">
        <v>1665.91</v>
      </c>
      <c r="L12" s="233">
        <v>1659.88</v>
      </c>
    </row>
    <row r="13" spans="1:19">
      <c r="C13" s="69" t="s">
        <v>114</v>
      </c>
      <c r="D13" s="131">
        <v>1563.53</v>
      </c>
      <c r="E13" s="131">
        <v>1594.01</v>
      </c>
      <c r="F13" s="131">
        <v>1555.03</v>
      </c>
      <c r="G13" s="131">
        <v>1513.21</v>
      </c>
      <c r="H13" s="131">
        <v>1502.15</v>
      </c>
      <c r="I13" s="131">
        <v>1505.43</v>
      </c>
      <c r="J13" s="233">
        <v>1531.55</v>
      </c>
      <c r="K13" s="233">
        <v>1535.74</v>
      </c>
      <c r="L13" s="233">
        <v>1530.67</v>
      </c>
    </row>
    <row r="14" spans="1:19">
      <c r="C14" s="69" t="s">
        <v>115</v>
      </c>
      <c r="D14" s="131">
        <v>1327.91</v>
      </c>
      <c r="E14" s="131">
        <v>1341.41</v>
      </c>
      <c r="F14" s="131">
        <v>1332.88</v>
      </c>
      <c r="G14" s="131">
        <v>1317.01</v>
      </c>
      <c r="H14" s="131">
        <v>1305.96</v>
      </c>
      <c r="I14" s="131">
        <v>1296.1099999999999</v>
      </c>
      <c r="J14" s="233">
        <v>1296.25</v>
      </c>
      <c r="K14" s="234">
        <v>1293.1600000000001</v>
      </c>
      <c r="L14" s="234">
        <v>1291.92</v>
      </c>
    </row>
    <row r="15" spans="1:19">
      <c r="J15" s="231"/>
      <c r="K15" s="231"/>
      <c r="L15" s="231"/>
      <c r="M15" s="232"/>
    </row>
    <row r="16" spans="1:19">
      <c r="J16" s="231"/>
      <c r="K16" s="231"/>
      <c r="L16" s="231"/>
      <c r="M16" s="232"/>
    </row>
    <row r="17" spans="3:12">
      <c r="J17" s="231"/>
      <c r="K17" s="231"/>
      <c r="L17" s="231"/>
    </row>
    <row r="18" spans="3:12">
      <c r="C18" s="43" t="s">
        <v>117</v>
      </c>
      <c r="J18" s="231"/>
      <c r="K18" s="231"/>
      <c r="L18" s="231"/>
    </row>
    <row r="19" spans="3:12">
      <c r="C19" s="43"/>
      <c r="D19" s="36" t="s">
        <v>113</v>
      </c>
      <c r="E19" s="129" t="s">
        <v>111</v>
      </c>
      <c r="F19" s="129" t="s">
        <v>112</v>
      </c>
      <c r="G19" s="229" t="s">
        <v>23</v>
      </c>
      <c r="H19" s="229" t="s">
        <v>24</v>
      </c>
      <c r="I19" s="229" t="s">
        <v>25</v>
      </c>
      <c r="J19" s="134" t="s">
        <v>26</v>
      </c>
      <c r="K19" s="134" t="s">
        <v>27</v>
      </c>
      <c r="L19" s="134" t="s">
        <v>28</v>
      </c>
    </row>
    <row r="20" spans="3:12">
      <c r="C20" s="69" t="s">
        <v>86</v>
      </c>
      <c r="D20" s="133">
        <v>1049.54</v>
      </c>
      <c r="E20" s="133">
        <v>1067.53</v>
      </c>
      <c r="F20" s="133">
        <v>1062.5999999999999</v>
      </c>
      <c r="G20" s="230">
        <v>1039.94</v>
      </c>
      <c r="H20" s="230">
        <v>1015.65</v>
      </c>
      <c r="I20" s="230">
        <v>1007.23</v>
      </c>
      <c r="J20" s="132">
        <v>1019.19</v>
      </c>
      <c r="K20" s="132">
        <v>1020.12</v>
      </c>
      <c r="L20" s="132">
        <v>1018.28</v>
      </c>
    </row>
    <row r="21" spans="3:12">
      <c r="C21" s="69" t="s">
        <v>114</v>
      </c>
      <c r="D21" s="133">
        <v>1128.3499999999999</v>
      </c>
      <c r="E21" s="133">
        <v>1156.1099999999999</v>
      </c>
      <c r="F21" s="133">
        <v>1143.33</v>
      </c>
      <c r="G21" s="230">
        <v>1117.21</v>
      </c>
      <c r="H21" s="230">
        <v>1090.52</v>
      </c>
      <c r="I21" s="230">
        <v>1081.4100000000001</v>
      </c>
      <c r="J21" s="132">
        <v>1093.75</v>
      </c>
      <c r="K21" s="132">
        <v>1097.06</v>
      </c>
      <c r="L21" s="132">
        <v>1094.8599999999999</v>
      </c>
    </row>
    <row r="22" spans="3:12">
      <c r="C22" s="69" t="s">
        <v>115</v>
      </c>
      <c r="D22" s="133">
        <v>1128.56</v>
      </c>
      <c r="E22" s="133">
        <v>1142.03</v>
      </c>
      <c r="F22" s="133">
        <v>1137.45</v>
      </c>
      <c r="G22" s="230">
        <v>1120.53</v>
      </c>
      <c r="H22" s="230">
        <v>1107.3399999999999</v>
      </c>
      <c r="I22" s="230">
        <v>1094.96</v>
      </c>
      <c r="J22" s="132">
        <v>1095.3399999999999</v>
      </c>
      <c r="K22" s="132">
        <v>1101.71</v>
      </c>
      <c r="L22" s="132">
        <v>1101.05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"/>
  <sheetViews>
    <sheetView zoomScale="85" zoomScaleNormal="85" workbookViewId="0">
      <selection activeCell="H33" sqref="H33"/>
    </sheetView>
  </sheetViews>
  <sheetFormatPr defaultRowHeight="16.5"/>
  <cols>
    <col min="4" max="4" width="13.375" style="90" customWidth="1"/>
  </cols>
  <sheetData>
    <row r="1" spans="1:12" s="5" customFormat="1" ht="17.25">
      <c r="A1" s="1" t="s">
        <v>192</v>
      </c>
      <c r="B1" s="16"/>
      <c r="C1" s="7"/>
    </row>
    <row r="2" spans="1:12" s="5" customFormat="1" ht="17.25">
      <c r="A2" s="3" t="s">
        <v>193</v>
      </c>
      <c r="B2" s="16"/>
      <c r="C2" s="7"/>
    </row>
    <row r="3" spans="1:12">
      <c r="B3" t="s">
        <v>196</v>
      </c>
    </row>
    <row r="4" spans="1:12">
      <c r="B4" t="s">
        <v>197</v>
      </c>
    </row>
    <row r="5" spans="1:12">
      <c r="A5" t="s">
        <v>203</v>
      </c>
    </row>
    <row r="8" spans="1:12">
      <c r="D8" s="92"/>
      <c r="E8" s="92" t="s">
        <v>175</v>
      </c>
      <c r="F8" s="92" t="s">
        <v>176</v>
      </c>
      <c r="G8" s="92" t="s">
        <v>189</v>
      </c>
      <c r="H8" s="92" t="s">
        <v>142</v>
      </c>
      <c r="I8" s="92" t="s">
        <v>143</v>
      </c>
      <c r="J8" s="92" t="s">
        <v>642</v>
      </c>
      <c r="K8" s="92" t="s">
        <v>643</v>
      </c>
      <c r="L8" s="92" t="s">
        <v>644</v>
      </c>
    </row>
    <row r="9" spans="1:12">
      <c r="D9" s="69" t="s">
        <v>194</v>
      </c>
      <c r="E9" s="91">
        <v>114.1</v>
      </c>
      <c r="F9" s="91">
        <v>113.7</v>
      </c>
      <c r="G9" s="91">
        <v>121.9</v>
      </c>
      <c r="H9" s="153">
        <v>118.1</v>
      </c>
      <c r="I9" s="153">
        <v>119.9</v>
      </c>
      <c r="J9" s="269">
        <v>119.3</v>
      </c>
      <c r="K9" s="269">
        <v>123.1</v>
      </c>
      <c r="L9" s="269">
        <v>124.4</v>
      </c>
    </row>
    <row r="10" spans="1:12">
      <c r="D10" s="69" t="s">
        <v>195</v>
      </c>
      <c r="E10" s="91">
        <v>120.3</v>
      </c>
      <c r="F10" s="91">
        <v>119.2</v>
      </c>
      <c r="G10" s="91">
        <v>121.1</v>
      </c>
      <c r="H10" s="153">
        <v>121</v>
      </c>
      <c r="I10" s="153">
        <v>121.4</v>
      </c>
      <c r="J10" s="269">
        <v>123</v>
      </c>
      <c r="K10" s="269">
        <v>124.4</v>
      </c>
      <c r="L10" s="269">
        <v>129.30000000000001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6"/>
  <sheetViews>
    <sheetView topLeftCell="C11" workbookViewId="0">
      <selection activeCell="J34" sqref="J34"/>
    </sheetView>
  </sheetViews>
  <sheetFormatPr defaultRowHeight="16.5"/>
  <cols>
    <col min="1" max="2" width="9" style="11"/>
    <col min="3" max="3" width="21" style="11" bestFit="1" customWidth="1"/>
    <col min="4" max="4" width="9" style="11" customWidth="1"/>
    <col min="5" max="5" width="8.625" style="11" bestFit="1" customWidth="1"/>
    <col min="6" max="7" width="9" style="11"/>
    <col min="8" max="8" width="10.125" style="11" bestFit="1" customWidth="1"/>
    <col min="9" max="15" width="9" style="11"/>
    <col min="16" max="16" width="9.875" style="11" bestFit="1" customWidth="1"/>
    <col min="17" max="16384" width="9" style="11"/>
  </cols>
  <sheetData>
    <row r="1" spans="1:7" s="5" customFormat="1" ht="17.25">
      <c r="A1" s="1" t="s">
        <v>347</v>
      </c>
      <c r="B1" s="16"/>
      <c r="C1" s="7"/>
      <c r="D1" s="7"/>
      <c r="E1" s="16"/>
      <c r="F1" s="16"/>
    </row>
    <row r="2" spans="1:7" s="5" customFormat="1" ht="17.25">
      <c r="A2" s="3" t="s">
        <v>358</v>
      </c>
      <c r="B2" s="16"/>
      <c r="C2" s="7"/>
      <c r="D2" s="7"/>
      <c r="E2" s="16"/>
      <c r="F2" s="16"/>
    </row>
    <row r="3" spans="1:7" s="5" customFormat="1" ht="17.25">
      <c r="A3" s="3"/>
      <c r="B3" s="16"/>
      <c r="C3" s="7"/>
      <c r="D3" s="7"/>
      <c r="E3" s="16"/>
      <c r="F3" s="16"/>
    </row>
    <row r="4" spans="1:7" s="5" customFormat="1" ht="17.25">
      <c r="A4" s="3"/>
      <c r="B4" s="16"/>
      <c r="C4" s="7"/>
      <c r="D4" s="7"/>
      <c r="E4" s="16"/>
      <c r="F4" s="16"/>
    </row>
    <row r="5" spans="1:7" s="5" customFormat="1" ht="17.25">
      <c r="A5" s="3"/>
      <c r="B5" s="16"/>
      <c r="C5" s="7"/>
      <c r="D5" s="7"/>
      <c r="E5" s="16"/>
      <c r="F5" s="16"/>
    </row>
    <row r="7" spans="1:7">
      <c r="C7" s="49" t="s">
        <v>92</v>
      </c>
      <c r="G7" s="47" t="s">
        <v>91</v>
      </c>
    </row>
    <row r="8" spans="1:7">
      <c r="C8" s="33"/>
      <c r="D8" s="33" t="s">
        <v>87</v>
      </c>
      <c r="E8" s="33" t="s">
        <v>88</v>
      </c>
      <c r="F8" s="33" t="s">
        <v>89</v>
      </c>
      <c r="G8" s="33" t="s">
        <v>90</v>
      </c>
    </row>
    <row r="9" spans="1:7">
      <c r="C9" s="327">
        <v>2023</v>
      </c>
      <c r="D9" s="48">
        <v>2777</v>
      </c>
      <c r="E9" s="48">
        <v>2869</v>
      </c>
      <c r="F9" s="48">
        <v>2869</v>
      </c>
      <c r="G9" s="48">
        <v>2852</v>
      </c>
    </row>
    <row r="10" spans="1:7">
      <c r="C10" s="327">
        <v>2024</v>
      </c>
      <c r="D10" s="48">
        <v>2806</v>
      </c>
      <c r="E10" s="48">
        <v>2884</v>
      </c>
      <c r="F10" s="48">
        <v>2883</v>
      </c>
      <c r="G10" s="48">
        <v>2857</v>
      </c>
    </row>
    <row r="11" spans="1:7">
      <c r="C11" s="327">
        <v>2025</v>
      </c>
      <c r="D11" s="48">
        <v>2822</v>
      </c>
      <c r="E11" s="48">
        <v>2905</v>
      </c>
      <c r="F11" s="48">
        <v>2905</v>
      </c>
      <c r="G11" s="48">
        <v>2877</v>
      </c>
    </row>
    <row r="12" spans="1:7">
      <c r="C12" s="119">
        <v>2026</v>
      </c>
      <c r="D12" s="328">
        <v>2840</v>
      </c>
      <c r="E12" s="328">
        <v>2908</v>
      </c>
      <c r="F12" s="21"/>
      <c r="G12" s="21"/>
    </row>
    <row r="17" spans="3:8">
      <c r="C17" s="392" t="s">
        <v>20</v>
      </c>
      <c r="D17" s="392"/>
      <c r="E17" s="394" t="s">
        <v>645</v>
      </c>
      <c r="F17" s="394" t="s">
        <v>646</v>
      </c>
      <c r="G17" s="51"/>
    </row>
    <row r="18" spans="3:8">
      <c r="C18" s="392"/>
      <c r="D18" s="392"/>
      <c r="E18" s="395"/>
      <c r="F18" s="395"/>
      <c r="G18" s="52" t="s">
        <v>93</v>
      </c>
    </row>
    <row r="19" spans="3:8">
      <c r="C19" s="392"/>
      <c r="D19" s="392"/>
      <c r="E19" s="396"/>
      <c r="F19" s="396"/>
      <c r="G19" s="52" t="s">
        <v>32</v>
      </c>
      <c r="H19" s="34"/>
    </row>
    <row r="20" spans="3:8">
      <c r="C20" s="393" t="s">
        <v>94</v>
      </c>
      <c r="D20" s="393"/>
      <c r="E20" s="53">
        <v>2905</v>
      </c>
      <c r="F20" s="54">
        <v>2908</v>
      </c>
      <c r="G20" s="55">
        <f t="shared" ref="G20:G28" si="0">(F20-E20)/E20*100</f>
        <v>0.10327022375215145</v>
      </c>
    </row>
    <row r="21" spans="3:8">
      <c r="C21" s="56" t="s">
        <v>95</v>
      </c>
      <c r="D21" s="57" t="s">
        <v>18</v>
      </c>
      <c r="E21" s="58">
        <v>147</v>
      </c>
      <c r="F21" s="59">
        <v>137</v>
      </c>
      <c r="G21" s="62">
        <f t="shared" si="0"/>
        <v>-6.8027210884353746</v>
      </c>
      <c r="H21" s="50">
        <v>163</v>
      </c>
    </row>
    <row r="22" spans="3:8">
      <c r="C22" s="56" t="s">
        <v>96</v>
      </c>
      <c r="D22" s="60" t="s">
        <v>98</v>
      </c>
      <c r="E22" s="58">
        <v>442</v>
      </c>
      <c r="F22" s="59">
        <v>432</v>
      </c>
      <c r="G22" s="62">
        <f t="shared" si="0"/>
        <v>-2.2624434389140271</v>
      </c>
      <c r="H22" s="50"/>
    </row>
    <row r="23" spans="3:8">
      <c r="C23" s="56" t="s">
        <v>97</v>
      </c>
      <c r="D23" s="60" t="s">
        <v>19</v>
      </c>
      <c r="E23" s="58">
        <v>196</v>
      </c>
      <c r="F23" s="59">
        <v>192</v>
      </c>
      <c r="G23" s="62">
        <f t="shared" si="0"/>
        <v>-2.0408163265306123</v>
      </c>
      <c r="H23" s="50"/>
    </row>
    <row r="24" spans="3:8" s="150" customFormat="1">
      <c r="C24" s="56"/>
      <c r="D24" s="60" t="s">
        <v>372</v>
      </c>
      <c r="E24" s="58">
        <v>556</v>
      </c>
      <c r="F24" s="59">
        <v>551</v>
      </c>
      <c r="G24" s="55">
        <f t="shared" si="0"/>
        <v>-0.89928057553956831</v>
      </c>
      <c r="H24" s="50"/>
    </row>
    <row r="25" spans="3:8" s="150" customFormat="1">
      <c r="C25" s="56"/>
      <c r="D25" s="262" t="s">
        <v>99</v>
      </c>
      <c r="E25" s="58">
        <v>322</v>
      </c>
      <c r="F25" s="59">
        <v>345</v>
      </c>
      <c r="G25" s="55">
        <f t="shared" si="0"/>
        <v>7.1428571428571423</v>
      </c>
      <c r="H25" s="50"/>
    </row>
    <row r="26" spans="3:8">
      <c r="C26" s="61"/>
      <c r="D26" s="268" t="s">
        <v>241</v>
      </c>
      <c r="E26" s="58">
        <v>231</v>
      </c>
      <c r="F26" s="59">
        <v>231</v>
      </c>
      <c r="G26" s="62">
        <f t="shared" si="0"/>
        <v>0</v>
      </c>
      <c r="H26" s="50"/>
    </row>
    <row r="27" spans="3:8">
      <c r="C27" s="61"/>
      <c r="D27" s="262" t="s">
        <v>118</v>
      </c>
      <c r="E27" s="58">
        <v>82</v>
      </c>
      <c r="F27" s="59">
        <v>83</v>
      </c>
      <c r="G27" s="55">
        <f t="shared" si="0"/>
        <v>1.2195121951219512</v>
      </c>
      <c r="H27" s="50"/>
    </row>
    <row r="28" spans="3:8" s="150" customFormat="1">
      <c r="C28" s="61"/>
      <c r="D28" s="262" t="s">
        <v>373</v>
      </c>
      <c r="E28" s="58">
        <v>53</v>
      </c>
      <c r="F28" s="59">
        <v>55</v>
      </c>
      <c r="G28" s="55">
        <f t="shared" si="0"/>
        <v>3.7735849056603774</v>
      </c>
      <c r="H28" s="50"/>
    </row>
    <row r="31" spans="3:8">
      <c r="C31" s="63" t="s">
        <v>100</v>
      </c>
      <c r="D31" s="45"/>
      <c r="E31" s="45"/>
      <c r="F31" s="45"/>
      <c r="G31" s="47" t="s">
        <v>91</v>
      </c>
    </row>
    <row r="32" spans="3:8">
      <c r="C32" s="33"/>
      <c r="D32" s="33" t="s">
        <v>87</v>
      </c>
      <c r="E32" s="33" t="s">
        <v>88</v>
      </c>
      <c r="F32" s="33" t="s">
        <v>89</v>
      </c>
      <c r="G32" s="33" t="s">
        <v>90</v>
      </c>
    </row>
    <row r="33" spans="3:7">
      <c r="C33" s="33">
        <v>2023</v>
      </c>
      <c r="D33" s="48">
        <v>129</v>
      </c>
      <c r="E33" s="48">
        <v>163</v>
      </c>
      <c r="F33" s="48">
        <v>164</v>
      </c>
      <c r="G33" s="48">
        <v>150</v>
      </c>
    </row>
    <row r="34" spans="3:7">
      <c r="C34" s="33">
        <v>2024</v>
      </c>
      <c r="D34" s="48">
        <v>126</v>
      </c>
      <c r="E34" s="48">
        <v>160</v>
      </c>
      <c r="F34" s="48">
        <v>160</v>
      </c>
      <c r="G34" s="48">
        <v>145</v>
      </c>
    </row>
    <row r="35" spans="3:7">
      <c r="C35" s="327">
        <v>2025</v>
      </c>
      <c r="D35" s="48">
        <v>123</v>
      </c>
      <c r="E35" s="48">
        <v>147</v>
      </c>
      <c r="F35" s="48">
        <v>147</v>
      </c>
      <c r="G35" s="48">
        <v>135</v>
      </c>
    </row>
    <row r="36" spans="3:7">
      <c r="C36" s="119">
        <v>2026</v>
      </c>
      <c r="D36" s="328">
        <v>114</v>
      </c>
      <c r="E36" s="328">
        <v>137</v>
      </c>
      <c r="F36" s="21"/>
      <c r="G36" s="21"/>
    </row>
  </sheetData>
  <mergeCells count="4">
    <mergeCell ref="C17:D19"/>
    <mergeCell ref="C20:D20"/>
    <mergeCell ref="E17:E19"/>
    <mergeCell ref="F17:F1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6"/>
  <sheetViews>
    <sheetView workbookViewId="0">
      <selection activeCell="H17" sqref="H17"/>
    </sheetView>
  </sheetViews>
  <sheetFormatPr defaultRowHeight="16.5"/>
  <cols>
    <col min="7" max="7" width="12.125" bestFit="1" customWidth="1"/>
    <col min="13" max="19" width="9.375" bestFit="1" customWidth="1"/>
    <col min="20" max="21" width="9.25" bestFit="1" customWidth="1"/>
  </cols>
  <sheetData>
    <row r="1" spans="1:21" s="5" customFormat="1" ht="17.25">
      <c r="A1" s="1" t="s">
        <v>136</v>
      </c>
      <c r="B1" s="16"/>
      <c r="C1" s="7"/>
      <c r="D1" s="7"/>
      <c r="E1" s="16"/>
      <c r="F1" s="16"/>
    </row>
    <row r="2" spans="1:21" s="5" customFormat="1" ht="17.25">
      <c r="A2" s="3" t="s">
        <v>344</v>
      </c>
      <c r="B2" s="16"/>
      <c r="C2" s="7"/>
      <c r="D2" s="7"/>
      <c r="E2" s="16"/>
      <c r="F2" s="16"/>
    </row>
    <row r="5" spans="1:21" ht="17.25" thickBot="1"/>
    <row r="6" spans="1:21" ht="17.25" thickTop="1">
      <c r="C6" s="399" t="s">
        <v>20</v>
      </c>
      <c r="D6" s="402" t="s">
        <v>375</v>
      </c>
      <c r="E6" s="402" t="s">
        <v>369</v>
      </c>
      <c r="F6" s="404" t="s">
        <v>370</v>
      </c>
      <c r="G6" s="73"/>
      <c r="L6" s="92" t="s">
        <v>170</v>
      </c>
      <c r="M6" s="92" t="s">
        <v>171</v>
      </c>
      <c r="N6" s="92" t="s">
        <v>172</v>
      </c>
      <c r="O6" s="92" t="s">
        <v>173</v>
      </c>
      <c r="P6" s="92" t="s">
        <v>174</v>
      </c>
      <c r="Q6" s="92" t="s">
        <v>175</v>
      </c>
      <c r="R6" s="92" t="s">
        <v>176</v>
      </c>
      <c r="S6" s="92" t="s">
        <v>189</v>
      </c>
      <c r="T6" s="92" t="s">
        <v>142</v>
      </c>
      <c r="U6" s="92" t="s">
        <v>143</v>
      </c>
    </row>
    <row r="7" spans="1:21">
      <c r="C7" s="400"/>
      <c r="D7" s="403"/>
      <c r="E7" s="403"/>
      <c r="F7" s="405"/>
      <c r="G7" s="74" t="s">
        <v>93</v>
      </c>
      <c r="K7" t="s">
        <v>190</v>
      </c>
      <c r="L7" s="91">
        <v>148452</v>
      </c>
      <c r="M7" s="91">
        <v>148670</v>
      </c>
      <c r="N7" s="91">
        <v>149538</v>
      </c>
      <c r="O7" s="91">
        <v>150251</v>
      </c>
      <c r="P7" s="91">
        <v>152475</v>
      </c>
      <c r="Q7" s="91">
        <v>152252</v>
      </c>
      <c r="R7" s="91">
        <v>152335</v>
      </c>
      <c r="S7" s="91">
        <v>152735</v>
      </c>
      <c r="T7" s="269">
        <v>153617</v>
      </c>
      <c r="U7" s="269">
        <v>153531</v>
      </c>
    </row>
    <row r="8" spans="1:21" ht="17.25" thickBot="1">
      <c r="C8" s="401"/>
      <c r="D8" s="76"/>
      <c r="E8" s="76"/>
      <c r="F8" s="76"/>
      <c r="G8" s="75" t="s">
        <v>32</v>
      </c>
      <c r="O8" s="18"/>
      <c r="P8" s="18">
        <f t="shared" ref="P8:S8" si="0">(P7-L7)/L7*100</f>
        <v>2.7099668579742948</v>
      </c>
      <c r="Q8" s="18">
        <f t="shared" si="0"/>
        <v>2.4093630187663955</v>
      </c>
      <c r="R8" s="18">
        <f t="shared" si="0"/>
        <v>1.8704275836242295</v>
      </c>
      <c r="S8" s="18">
        <f t="shared" si="0"/>
        <v>1.6532335891275267</v>
      </c>
    </row>
    <row r="9" spans="1:21" ht="17.25" thickBot="1">
      <c r="C9" s="77" t="s">
        <v>137</v>
      </c>
      <c r="D9" s="78">
        <f>M7</f>
        <v>148670</v>
      </c>
      <c r="E9" s="78">
        <f>Q7</f>
        <v>152252</v>
      </c>
      <c r="F9" s="151">
        <f>U7</f>
        <v>153531</v>
      </c>
      <c r="G9" s="111">
        <f>(F9-E9)/E9*100</f>
        <v>0.84005464624438442</v>
      </c>
      <c r="K9" s="150" t="s">
        <v>374</v>
      </c>
      <c r="L9" s="270"/>
      <c r="M9" s="270">
        <v>116842</v>
      </c>
      <c r="N9" s="270">
        <v>117246</v>
      </c>
      <c r="O9" s="270">
        <v>117382</v>
      </c>
      <c r="P9" s="270">
        <v>119492</v>
      </c>
      <c r="Q9" s="270">
        <v>119817</v>
      </c>
      <c r="R9" s="270">
        <v>120508</v>
      </c>
      <c r="S9" s="270">
        <v>119361</v>
      </c>
      <c r="T9" s="270">
        <v>121412</v>
      </c>
      <c r="U9" s="270">
        <v>121914</v>
      </c>
    </row>
    <row r="10" spans="1:21">
      <c r="C10" s="79" t="s">
        <v>138</v>
      </c>
      <c r="D10" s="80">
        <f>M9</f>
        <v>116842</v>
      </c>
      <c r="E10" s="80">
        <f>Q9</f>
        <v>119817</v>
      </c>
      <c r="F10" s="152">
        <f>U9</f>
        <v>121914</v>
      </c>
      <c r="G10" s="111">
        <f>(F10-E10)/E10*100</f>
        <v>1.7501690077367988</v>
      </c>
      <c r="K10" s="150"/>
      <c r="L10" s="150"/>
      <c r="M10" s="150"/>
      <c r="N10" s="150"/>
      <c r="O10" s="18"/>
      <c r="P10" s="18"/>
      <c r="Q10" s="18"/>
      <c r="R10" s="18"/>
      <c r="S10" s="18"/>
      <c r="T10" s="150"/>
      <c r="U10" s="150"/>
    </row>
    <row r="11" spans="1:21">
      <c r="C11" s="81" t="s">
        <v>139</v>
      </c>
      <c r="D11" s="406">
        <v>25511</v>
      </c>
      <c r="E11" s="406">
        <v>46218</v>
      </c>
      <c r="F11" s="408">
        <v>69554</v>
      </c>
      <c r="G11" s="397">
        <f>(F11-E11)/E11*100</f>
        <v>50.491150633952145</v>
      </c>
      <c r="K11" s="150"/>
      <c r="L11" s="150"/>
      <c r="M11" s="150"/>
      <c r="N11" s="150"/>
      <c r="O11" s="18"/>
      <c r="P11" s="18"/>
      <c r="Q11" s="18"/>
      <c r="R11" s="18"/>
      <c r="S11" s="18"/>
      <c r="T11" s="150"/>
      <c r="U11" s="150"/>
    </row>
    <row r="12" spans="1:21" ht="17.25" thickBot="1">
      <c r="C12" s="82" t="s">
        <v>140</v>
      </c>
      <c r="D12" s="407"/>
      <c r="E12" s="407"/>
      <c r="F12" s="409"/>
      <c r="G12" s="398"/>
      <c r="K12" s="47" t="s">
        <v>256</v>
      </c>
      <c r="L12" s="92" t="s">
        <v>170</v>
      </c>
      <c r="M12" s="92" t="s">
        <v>171</v>
      </c>
      <c r="N12" s="92" t="s">
        <v>172</v>
      </c>
      <c r="O12" s="92" t="s">
        <v>173</v>
      </c>
      <c r="P12" s="92" t="s">
        <v>174</v>
      </c>
      <c r="Q12" s="92" t="s">
        <v>175</v>
      </c>
      <c r="R12" s="92" t="s">
        <v>176</v>
      </c>
      <c r="S12" s="92" t="s">
        <v>189</v>
      </c>
      <c r="T12" s="92" t="s">
        <v>255</v>
      </c>
      <c r="U12" s="92" t="s">
        <v>143</v>
      </c>
    </row>
    <row r="13" spans="1:21" ht="17.25" thickTop="1">
      <c r="E13">
        <f>(E11-D11)/D11*100</f>
        <v>81.168907530085065</v>
      </c>
      <c r="K13" t="s">
        <v>191</v>
      </c>
      <c r="L13" s="91">
        <v>132.4</v>
      </c>
      <c r="M13" s="91">
        <v>133</v>
      </c>
      <c r="N13" s="91">
        <v>133.5</v>
      </c>
      <c r="O13" s="91">
        <v>133.80000000000001</v>
      </c>
      <c r="P13" s="91">
        <v>136.1</v>
      </c>
      <c r="Q13" s="91">
        <v>136.30000000000001</v>
      </c>
      <c r="R13" s="91">
        <v>136.9</v>
      </c>
      <c r="S13" s="91">
        <v>136.1</v>
      </c>
      <c r="T13" s="91">
        <v>137.9</v>
      </c>
      <c r="U13" s="269">
        <v>138.30000000000001</v>
      </c>
    </row>
    <row r="14" spans="1:21" ht="17.25" thickBot="1">
      <c r="O14" s="18"/>
      <c r="P14" s="18">
        <f>(P13-L13)/L13*100</f>
        <v>2.7945619335347347</v>
      </c>
      <c r="Q14" s="18">
        <f t="shared" ref="Q14:S14" si="1">(Q13-M13)/M13*100</f>
        <v>2.4812030075188054</v>
      </c>
      <c r="R14" s="18">
        <f t="shared" si="1"/>
        <v>2.5468164794007535</v>
      </c>
      <c r="S14" s="18">
        <f t="shared" si="1"/>
        <v>1.718983557548567</v>
      </c>
      <c r="T14" s="18">
        <f>(T13-P13)/P13*100</f>
        <v>1.3225569434239615</v>
      </c>
      <c r="U14" s="18">
        <f>(U13-Q13)/Q13*100</f>
        <v>1.467351430667645</v>
      </c>
    </row>
    <row r="15" spans="1:21">
      <c r="E15" s="78">
        <v>152475</v>
      </c>
      <c r="F15" s="151">
        <v>153617</v>
      </c>
    </row>
    <row r="16" spans="1:21">
      <c r="E16" s="80">
        <v>119492</v>
      </c>
      <c r="F16" s="152">
        <v>121412</v>
      </c>
    </row>
  </sheetData>
  <mergeCells count="8">
    <mergeCell ref="G11:G12"/>
    <mergeCell ref="C6:C8"/>
    <mergeCell ref="D6:D7"/>
    <mergeCell ref="E6:E7"/>
    <mergeCell ref="F6:F7"/>
    <mergeCell ref="D11:D12"/>
    <mergeCell ref="E11:E12"/>
    <mergeCell ref="F11:F12"/>
  </mergeCells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46"/>
  <sheetViews>
    <sheetView topLeftCell="A6" workbookViewId="0">
      <selection activeCell="C16" sqref="C16"/>
    </sheetView>
  </sheetViews>
  <sheetFormatPr defaultRowHeight="16.5"/>
  <cols>
    <col min="3" max="3" width="21" bestFit="1" customWidth="1"/>
    <col min="10" max="10" width="9.625" bestFit="1" customWidth="1"/>
    <col min="11" max="12" width="9.125" bestFit="1" customWidth="1"/>
    <col min="13" max="13" width="8" bestFit="1" customWidth="1"/>
  </cols>
  <sheetData>
    <row r="1" spans="1:24" s="5" customFormat="1" ht="17.25">
      <c r="A1" s="1" t="s">
        <v>119</v>
      </c>
      <c r="B1" s="16"/>
      <c r="C1" s="7"/>
      <c r="D1" s="7"/>
      <c r="E1" s="16"/>
      <c r="F1" s="16"/>
    </row>
    <row r="2" spans="1:24" s="5" customFormat="1" ht="17.25">
      <c r="A2" s="3" t="s">
        <v>357</v>
      </c>
      <c r="B2" s="16"/>
      <c r="C2" s="7"/>
      <c r="D2" s="7"/>
      <c r="E2" s="16"/>
      <c r="F2" s="16"/>
    </row>
    <row r="3" spans="1:24">
      <c r="B3" t="s">
        <v>198</v>
      </c>
    </row>
    <row r="6" spans="1:24">
      <c r="C6" s="33"/>
      <c r="D6" s="35" t="s">
        <v>231</v>
      </c>
      <c r="E6" s="30" t="s">
        <v>103</v>
      </c>
      <c r="F6" s="30" t="s">
        <v>39</v>
      </c>
      <c r="G6" s="35" t="s">
        <v>104</v>
      </c>
      <c r="H6" s="30" t="s">
        <v>41</v>
      </c>
      <c r="I6" s="30" t="s">
        <v>42</v>
      </c>
      <c r="J6" s="35" t="s">
        <v>232</v>
      </c>
      <c r="K6" s="30" t="s">
        <v>233</v>
      </c>
      <c r="L6" s="30" t="s">
        <v>234</v>
      </c>
      <c r="M6" s="30" t="s">
        <v>354</v>
      </c>
      <c r="N6" s="30" t="s">
        <v>355</v>
      </c>
      <c r="O6" s="30" t="s">
        <v>356</v>
      </c>
      <c r="P6" s="35" t="s">
        <v>649</v>
      </c>
      <c r="Q6" s="30" t="s">
        <v>652</v>
      </c>
      <c r="R6" s="30" t="s">
        <v>653</v>
      </c>
      <c r="S6" s="35" t="s">
        <v>648</v>
      </c>
      <c r="T6" s="30" t="s">
        <v>41</v>
      </c>
      <c r="U6" s="30" t="s">
        <v>42</v>
      </c>
      <c r="V6" s="30" t="s">
        <v>226</v>
      </c>
      <c r="W6" s="30" t="s">
        <v>213</v>
      </c>
      <c r="X6" s="30" t="s">
        <v>227</v>
      </c>
    </row>
    <row r="7" spans="1:24" ht="17.25">
      <c r="C7" s="33" t="s">
        <v>101</v>
      </c>
      <c r="D7" s="65">
        <v>1379.9</v>
      </c>
      <c r="E7" s="65">
        <v>1394.7</v>
      </c>
      <c r="F7" s="65">
        <v>1472.5</v>
      </c>
      <c r="G7" s="65">
        <v>1452.7</v>
      </c>
      <c r="H7" s="65">
        <v>1463.4</v>
      </c>
      <c r="I7" s="65">
        <v>1472.9</v>
      </c>
      <c r="J7" s="65">
        <v>1421</v>
      </c>
      <c r="K7" s="65">
        <v>1380</v>
      </c>
      <c r="L7" s="65">
        <v>1350</v>
      </c>
      <c r="M7" s="65">
        <v>1387</v>
      </c>
      <c r="N7" s="65">
        <v>1390.1</v>
      </c>
      <c r="O7" s="65">
        <v>1402.9</v>
      </c>
      <c r="P7" s="330">
        <v>1424</v>
      </c>
      <c r="Q7" s="330">
        <v>1471</v>
      </c>
      <c r="R7" s="331">
        <v>1439</v>
      </c>
      <c r="S7" s="331">
        <v>1440</v>
      </c>
      <c r="T7" s="331">
        <v>1440</v>
      </c>
      <c r="U7" s="331">
        <v>1530</v>
      </c>
      <c r="V7" s="331">
        <v>1483</v>
      </c>
      <c r="W7" s="331">
        <v>1508</v>
      </c>
      <c r="X7" s="331">
        <v>1549</v>
      </c>
    </row>
    <row r="8" spans="1:24">
      <c r="M8" s="18">
        <f>(M7-L7)/L7*100</f>
        <v>2.7407407407407409</v>
      </c>
      <c r="N8" s="18">
        <f>(N7-M7)/M7*100</f>
        <v>0.22350396539292783</v>
      </c>
      <c r="O8" s="18">
        <f>(O7-N7)/N7*100</f>
        <v>0.92079706495936853</v>
      </c>
    </row>
    <row r="11" spans="1:24">
      <c r="C11" s="33"/>
      <c r="D11" s="35" t="s">
        <v>225</v>
      </c>
      <c r="E11" s="30" t="s">
        <v>103</v>
      </c>
      <c r="F11" s="30" t="s">
        <v>39</v>
      </c>
      <c r="G11" s="35" t="s">
        <v>104</v>
      </c>
      <c r="H11" s="30" t="s">
        <v>41</v>
      </c>
      <c r="I11" s="30" t="s">
        <v>42</v>
      </c>
      <c r="J11" s="30" t="s">
        <v>226</v>
      </c>
      <c r="K11" s="30" t="s">
        <v>213</v>
      </c>
      <c r="L11" s="30" t="s">
        <v>227</v>
      </c>
      <c r="M11" s="30" t="s">
        <v>215</v>
      </c>
      <c r="N11" s="30" t="s">
        <v>353</v>
      </c>
      <c r="O11" s="30" t="s">
        <v>217</v>
      </c>
      <c r="P11" s="35" t="s">
        <v>649</v>
      </c>
      <c r="Q11" s="30" t="s">
        <v>650</v>
      </c>
      <c r="R11" s="30" t="s">
        <v>647</v>
      </c>
      <c r="S11" s="35" t="s">
        <v>648</v>
      </c>
      <c r="T11" s="30" t="s">
        <v>41</v>
      </c>
      <c r="U11" s="30" t="s">
        <v>42</v>
      </c>
      <c r="V11" s="30" t="s">
        <v>226</v>
      </c>
      <c r="W11" s="30" t="s">
        <v>213</v>
      </c>
      <c r="X11" s="30" t="s">
        <v>227</v>
      </c>
    </row>
    <row r="12" spans="1:24">
      <c r="C12" s="33" t="s">
        <v>102</v>
      </c>
      <c r="D12" s="64">
        <v>126.9</v>
      </c>
      <c r="E12" s="64">
        <v>127.7</v>
      </c>
      <c r="F12" s="64">
        <v>127.4</v>
      </c>
      <c r="G12" s="64">
        <v>124.7</v>
      </c>
      <c r="H12" s="64">
        <v>126.8</v>
      </c>
      <c r="I12" s="64">
        <v>127.1</v>
      </c>
      <c r="J12" s="64">
        <v>128.30000000000001</v>
      </c>
      <c r="K12" s="64">
        <v>127.3</v>
      </c>
      <c r="L12" s="64">
        <v>128.1</v>
      </c>
      <c r="M12" s="64">
        <v>129.80000000000001</v>
      </c>
      <c r="N12" s="64">
        <v>130</v>
      </c>
      <c r="O12" s="64">
        <v>128.6</v>
      </c>
      <c r="P12" s="329">
        <v>126.4</v>
      </c>
      <c r="Q12" s="329">
        <v>125.2</v>
      </c>
      <c r="R12" s="329">
        <v>124.5</v>
      </c>
      <c r="S12" s="329">
        <v>124.1</v>
      </c>
      <c r="T12">
        <v>125.5</v>
      </c>
      <c r="U12">
        <v>128.69999999999999</v>
      </c>
      <c r="V12">
        <v>131</v>
      </c>
      <c r="W12">
        <v>130.80000000000001</v>
      </c>
      <c r="X12">
        <v>130.30000000000001</v>
      </c>
    </row>
    <row r="13" spans="1:24">
      <c r="J13" s="18">
        <f>(J12-I12)/I12*100</f>
        <v>0.94413847364281445</v>
      </c>
      <c r="K13" s="18">
        <f>(K12-J12)/J12*100</f>
        <v>-0.77942322681217002</v>
      </c>
      <c r="L13" s="18">
        <f>(L12-K12)/K12*100</f>
        <v>0.62843676355066547</v>
      </c>
      <c r="M13" s="18">
        <f t="shared" ref="M13:R13" si="0">(M12-L12)/L12*100</f>
        <v>1.3270882123341274</v>
      </c>
      <c r="N13" s="18">
        <f t="shared" si="0"/>
        <v>0.15408320493065378</v>
      </c>
      <c r="O13" s="18">
        <f t="shared" si="0"/>
        <v>-1.0769230769230813</v>
      </c>
      <c r="P13" s="18">
        <f t="shared" si="0"/>
        <v>-1.7107309486780626</v>
      </c>
      <c r="Q13" s="18">
        <f t="shared" si="0"/>
        <v>-0.94936708860759722</v>
      </c>
      <c r="R13" s="18">
        <f t="shared" si="0"/>
        <v>-0.55910543130990642</v>
      </c>
      <c r="S13" s="18">
        <f t="shared" ref="S13" si="1">(S12-R12)/R12*100</f>
        <v>-0.32128514056225355</v>
      </c>
      <c r="T13" s="18">
        <f t="shared" ref="T13" si="2">(T12-S12)/S12*100</f>
        <v>1.1281224818694648</v>
      </c>
      <c r="U13" s="18">
        <f t="shared" ref="U13:X13" si="3">(U12-T12)/T12*100</f>
        <v>2.5498007968127401</v>
      </c>
      <c r="V13" s="18">
        <f t="shared" si="3"/>
        <v>1.7871017871017962</v>
      </c>
      <c r="W13" s="18">
        <f t="shared" si="3"/>
        <v>-0.15267175572518216</v>
      </c>
      <c r="X13" s="18">
        <f t="shared" si="3"/>
        <v>-0.38226299694189597</v>
      </c>
    </row>
    <row r="32" spans="3:9">
      <c r="C32" s="214"/>
      <c r="D32" s="214"/>
      <c r="E32" s="214"/>
      <c r="F32" s="214"/>
      <c r="G32" s="214"/>
      <c r="H32" s="214"/>
      <c r="I32" s="214"/>
    </row>
    <row r="33" spans="3:18" ht="27">
      <c r="C33" s="215"/>
      <c r="D33" s="215"/>
      <c r="E33" s="216"/>
      <c r="F33" s="215"/>
      <c r="G33" s="216"/>
      <c r="H33" s="215"/>
      <c r="I33" s="216"/>
      <c r="K33" s="410" t="s">
        <v>228</v>
      </c>
      <c r="L33" s="410"/>
      <c r="M33" s="137" t="s">
        <v>229</v>
      </c>
      <c r="N33" s="69" t="s">
        <v>107</v>
      </c>
      <c r="O33" s="69" t="s">
        <v>108</v>
      </c>
      <c r="P33" s="69" t="s">
        <v>105</v>
      </c>
      <c r="Q33" s="69" t="s">
        <v>106</v>
      </c>
      <c r="R33" s="69" t="s">
        <v>109</v>
      </c>
    </row>
    <row r="34" spans="3:18" ht="17.25">
      <c r="C34" s="217"/>
      <c r="D34" s="218"/>
      <c r="E34" s="219"/>
      <c r="F34" s="218"/>
      <c r="G34" s="219"/>
      <c r="H34" s="218"/>
      <c r="I34" s="219"/>
      <c r="K34" s="411">
        <v>2025</v>
      </c>
      <c r="L34" s="138" t="s">
        <v>230</v>
      </c>
      <c r="M34" s="258">
        <v>124.7</v>
      </c>
      <c r="N34" s="258">
        <v>116.7</v>
      </c>
      <c r="O34" s="258">
        <v>143.1</v>
      </c>
      <c r="P34" s="258">
        <v>111.8</v>
      </c>
      <c r="Q34" s="258">
        <v>153</v>
      </c>
      <c r="R34" s="259">
        <v>111.2</v>
      </c>
    </row>
    <row r="35" spans="3:18" ht="17.25">
      <c r="C35" s="217"/>
      <c r="D35" s="218"/>
      <c r="E35" s="219"/>
      <c r="F35" s="218"/>
      <c r="G35" s="219"/>
      <c r="H35" s="218"/>
      <c r="I35" s="219"/>
      <c r="K35" s="412"/>
      <c r="L35" s="138" t="s">
        <v>21</v>
      </c>
      <c r="M35" s="258">
        <v>126.6</v>
      </c>
      <c r="N35" s="258">
        <v>116.9</v>
      </c>
      <c r="O35" s="258">
        <v>147.69999999999999</v>
      </c>
      <c r="P35" s="258">
        <v>112.6</v>
      </c>
      <c r="Q35" s="258">
        <v>156</v>
      </c>
      <c r="R35" s="259">
        <v>118.5</v>
      </c>
    </row>
    <row r="36" spans="3:18" ht="17.25">
      <c r="C36" s="217"/>
      <c r="D36" s="218"/>
      <c r="E36" s="219"/>
      <c r="F36" s="218"/>
      <c r="G36" s="219"/>
      <c r="H36" s="218"/>
      <c r="I36" s="219"/>
      <c r="K36" s="412"/>
      <c r="L36" s="138" t="s">
        <v>22</v>
      </c>
      <c r="M36" s="258">
        <v>127.2</v>
      </c>
      <c r="N36" s="258">
        <v>118.3</v>
      </c>
      <c r="O36" s="258">
        <v>148.69999999999999</v>
      </c>
      <c r="P36" s="258">
        <v>109.7</v>
      </c>
      <c r="Q36" s="258">
        <v>161.80000000000001</v>
      </c>
      <c r="R36" s="259">
        <v>116.9</v>
      </c>
    </row>
    <row r="37" spans="3:18" ht="17.25">
      <c r="C37" s="217"/>
      <c r="D37" s="218"/>
      <c r="E37" s="219"/>
      <c r="F37" s="218"/>
      <c r="G37" s="219"/>
      <c r="H37" s="218"/>
      <c r="I37" s="219"/>
      <c r="K37" s="412"/>
      <c r="L37" s="138" t="s">
        <v>23</v>
      </c>
      <c r="M37" s="258">
        <v>128.19999999999999</v>
      </c>
      <c r="N37" s="258">
        <v>121.6</v>
      </c>
      <c r="O37" s="258">
        <v>151.69999999999999</v>
      </c>
      <c r="P37" s="258">
        <v>110.9</v>
      </c>
      <c r="Q37" s="258">
        <v>158</v>
      </c>
      <c r="R37" s="259">
        <v>112.3</v>
      </c>
    </row>
    <row r="38" spans="3:18" ht="17.25">
      <c r="C38" s="217"/>
      <c r="D38" s="218"/>
      <c r="E38" s="219"/>
      <c r="F38" s="218"/>
      <c r="G38" s="219"/>
      <c r="H38" s="218"/>
      <c r="I38" s="219"/>
      <c r="K38" s="412"/>
      <c r="L38" s="138" t="s">
        <v>24</v>
      </c>
      <c r="M38" s="258">
        <v>127.1</v>
      </c>
      <c r="N38" s="258">
        <v>122.8</v>
      </c>
      <c r="O38" s="258">
        <v>153.6</v>
      </c>
      <c r="P38" s="258">
        <v>109</v>
      </c>
      <c r="Q38" s="258">
        <v>152.19999999999999</v>
      </c>
      <c r="R38" s="259">
        <v>109.4</v>
      </c>
    </row>
    <row r="39" spans="3:18" ht="17.25">
      <c r="C39" s="217"/>
      <c r="D39" s="218"/>
      <c r="E39" s="219"/>
      <c r="F39" s="218"/>
      <c r="G39" s="219"/>
      <c r="H39" s="218"/>
      <c r="I39" s="219"/>
      <c r="K39" s="412"/>
      <c r="L39" s="138" t="s">
        <v>25</v>
      </c>
      <c r="M39" s="258">
        <v>128.1</v>
      </c>
      <c r="N39" s="258">
        <v>126</v>
      </c>
      <c r="O39" s="258">
        <v>155.5</v>
      </c>
      <c r="P39" s="258">
        <v>107.3</v>
      </c>
      <c r="Q39" s="258">
        <v>155.69999999999999</v>
      </c>
      <c r="R39" s="259">
        <v>103.6</v>
      </c>
    </row>
    <row r="40" spans="3:18" s="150" customFormat="1" ht="17.25">
      <c r="C40" s="217"/>
      <c r="D40" s="218"/>
      <c r="E40" s="219"/>
      <c r="F40" s="218"/>
      <c r="G40" s="219"/>
      <c r="H40" s="218"/>
      <c r="I40" s="219"/>
      <c r="K40" s="412"/>
      <c r="L40" s="138" t="s">
        <v>26</v>
      </c>
      <c r="M40" s="258">
        <v>129.80000000000001</v>
      </c>
      <c r="N40" s="258">
        <v>126.7</v>
      </c>
      <c r="O40" s="258">
        <v>154.6</v>
      </c>
      <c r="P40" s="258">
        <v>106.5</v>
      </c>
      <c r="Q40" s="258">
        <v>166.8</v>
      </c>
      <c r="R40" s="259">
        <v>103.3</v>
      </c>
    </row>
    <row r="41" spans="3:18" s="150" customFormat="1" ht="17.25">
      <c r="C41" s="217"/>
      <c r="D41" s="218"/>
      <c r="E41" s="219"/>
      <c r="F41" s="218"/>
      <c r="G41" s="219"/>
      <c r="H41" s="218"/>
      <c r="I41" s="219"/>
      <c r="K41" s="412"/>
      <c r="L41" s="138" t="s">
        <v>27</v>
      </c>
      <c r="M41" s="258">
        <v>129.69999999999999</v>
      </c>
      <c r="N41" s="258">
        <v>127</v>
      </c>
      <c r="O41" s="258">
        <v>152.30000000000001</v>
      </c>
      <c r="P41" s="258">
        <v>105.6</v>
      </c>
      <c r="Q41" s="258">
        <v>169.1</v>
      </c>
      <c r="R41" s="259">
        <v>103.6</v>
      </c>
    </row>
    <row r="42" spans="3:18" s="150" customFormat="1" ht="17.25">
      <c r="C42" s="217"/>
      <c r="D42" s="218"/>
      <c r="E42" s="219"/>
      <c r="F42" s="218"/>
      <c r="G42" s="219"/>
      <c r="H42" s="218"/>
      <c r="I42" s="219"/>
      <c r="K42" s="413"/>
      <c r="L42" s="138" t="s">
        <v>28</v>
      </c>
      <c r="M42" s="260">
        <v>128.80000000000001</v>
      </c>
      <c r="N42" s="260">
        <v>127.8</v>
      </c>
      <c r="O42" s="260">
        <v>148.30000000000001</v>
      </c>
      <c r="P42" s="260">
        <v>105</v>
      </c>
      <c r="Q42" s="260">
        <v>167.9</v>
      </c>
      <c r="R42" s="261">
        <v>99.4</v>
      </c>
    </row>
    <row r="43" spans="3:18">
      <c r="C43" s="214"/>
      <c r="D43" s="214"/>
      <c r="E43" s="214"/>
      <c r="F43" s="214"/>
      <c r="G43" s="214"/>
      <c r="H43" s="214"/>
      <c r="I43" s="214"/>
      <c r="K43" s="21"/>
      <c r="L43" s="21"/>
      <c r="M43" s="228">
        <f>(M42-M40)/M40*100</f>
        <v>-0.77041602465331271</v>
      </c>
      <c r="N43" s="227">
        <f>(N42-N40)/N40*100</f>
        <v>0.86819258089975881</v>
      </c>
      <c r="O43" s="228">
        <f>(O42-O40)/O40*100</f>
        <v>-4.0750323415265095</v>
      </c>
      <c r="P43" s="228">
        <f t="shared" ref="P43:R43" si="4">(P42-P40)/P40*100</f>
        <v>-1.4084507042253522</v>
      </c>
      <c r="Q43" s="227">
        <f t="shared" si="4"/>
        <v>0.65947242206234657</v>
      </c>
      <c r="R43" s="228">
        <f t="shared" si="4"/>
        <v>-3.7754114230396816</v>
      </c>
    </row>
    <row r="44" spans="3:18">
      <c r="C44" s="214"/>
      <c r="D44" s="214"/>
      <c r="E44" s="214"/>
      <c r="F44" s="214"/>
      <c r="G44" s="214"/>
      <c r="H44" s="214"/>
      <c r="I44" s="214"/>
    </row>
    <row r="45" spans="3:18">
      <c r="M45" s="18">
        <f>(M40-M39)/M39*100</f>
        <v>1.3270882123341274</v>
      </c>
    </row>
    <row r="46" spans="3:18">
      <c r="M46" s="18">
        <f>(M41-M40)/M40*100</f>
        <v>-7.7041602465348788E-2</v>
      </c>
    </row>
  </sheetData>
  <mergeCells count="2">
    <mergeCell ref="K33:L33"/>
    <mergeCell ref="K34:K4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43"/>
  <sheetViews>
    <sheetView topLeftCell="C11" zoomScale="80" zoomScaleNormal="80" workbookViewId="0">
      <selection activeCell="AG25" sqref="AG25"/>
    </sheetView>
  </sheetViews>
  <sheetFormatPr defaultRowHeight="16.5"/>
  <cols>
    <col min="2" max="2" width="13.25" customWidth="1"/>
    <col min="4" max="4" width="13.375" bestFit="1" customWidth="1"/>
    <col min="5" max="5" width="14" bestFit="1" customWidth="1"/>
    <col min="6" max="7" width="13.375" bestFit="1" customWidth="1"/>
    <col min="8" max="8" width="14" bestFit="1" customWidth="1"/>
    <col min="9" max="10" width="13.375" bestFit="1" customWidth="1"/>
    <col min="11" max="12" width="14" bestFit="1" customWidth="1"/>
    <col min="13" max="16" width="13.375" bestFit="1" customWidth="1"/>
    <col min="17" max="17" width="14" bestFit="1" customWidth="1"/>
    <col min="28" max="33" width="16" bestFit="1" customWidth="1"/>
  </cols>
  <sheetData>
    <row r="1" spans="1:33" s="5" customFormat="1" ht="17.25">
      <c r="A1" s="1" t="s">
        <v>654</v>
      </c>
      <c r="B1" s="7"/>
    </row>
    <row r="2" spans="1:33" s="5" customFormat="1" ht="17.25">
      <c r="A2" s="3" t="s">
        <v>141</v>
      </c>
      <c r="B2" s="7"/>
    </row>
    <row r="3" spans="1:33">
      <c r="A3" t="s">
        <v>204</v>
      </c>
    </row>
    <row r="5" spans="1:33" s="66" customFormat="1" ht="17.25">
      <c r="B5" s="236" t="s">
        <v>130</v>
      </c>
      <c r="C5" s="237" t="s">
        <v>129</v>
      </c>
      <c r="D5" s="237" t="s">
        <v>44</v>
      </c>
      <c r="E5" s="237" t="s">
        <v>45</v>
      </c>
      <c r="F5" s="237" t="s">
        <v>46</v>
      </c>
      <c r="G5" s="237" t="s">
        <v>47</v>
      </c>
      <c r="H5" s="237" t="s">
        <v>48</v>
      </c>
      <c r="I5" s="237" t="s">
        <v>49</v>
      </c>
      <c r="J5" s="237" t="s">
        <v>50</v>
      </c>
      <c r="K5" s="237" t="s">
        <v>51</v>
      </c>
      <c r="L5" s="237" t="s">
        <v>52</v>
      </c>
      <c r="M5" s="237" t="s">
        <v>53</v>
      </c>
      <c r="N5" s="237" t="s">
        <v>54</v>
      </c>
      <c r="O5" s="237" t="s">
        <v>55</v>
      </c>
      <c r="P5" s="237" t="s">
        <v>56</v>
      </c>
      <c r="Q5" s="237" t="s">
        <v>57</v>
      </c>
      <c r="R5" s="237" t="s">
        <v>58</v>
      </c>
      <c r="S5" s="237" t="s">
        <v>235</v>
      </c>
      <c r="T5" s="237" t="s">
        <v>236</v>
      </c>
      <c r="U5" s="237" t="s">
        <v>237</v>
      </c>
      <c r="V5" s="237" t="s">
        <v>360</v>
      </c>
      <c r="W5" s="237" t="s">
        <v>361</v>
      </c>
      <c r="X5" s="237" t="s">
        <v>362</v>
      </c>
      <c r="Y5" s="237" t="s">
        <v>656</v>
      </c>
      <c r="Z5" s="237" t="s">
        <v>657</v>
      </c>
      <c r="AA5" s="237" t="s">
        <v>658</v>
      </c>
      <c r="AB5" s="334">
        <v>46023</v>
      </c>
      <c r="AC5" s="334">
        <v>46054</v>
      </c>
      <c r="AD5" s="334">
        <v>46082</v>
      </c>
      <c r="AE5" s="334">
        <v>46113</v>
      </c>
      <c r="AF5" s="334">
        <v>46143</v>
      </c>
      <c r="AG5" s="334">
        <v>46174</v>
      </c>
    </row>
    <row r="6" spans="1:33" s="66" customFormat="1" ht="17.25">
      <c r="B6" s="238" t="s">
        <v>125</v>
      </c>
      <c r="C6" s="239">
        <v>120.84</v>
      </c>
      <c r="D6" s="239">
        <v>124.59</v>
      </c>
      <c r="E6" s="239">
        <v>126.54</v>
      </c>
      <c r="F6" s="239">
        <v>126.94</v>
      </c>
      <c r="G6" s="239">
        <v>132.55000000000001</v>
      </c>
      <c r="H6" s="239">
        <v>131.78</v>
      </c>
      <c r="I6" s="239">
        <v>132.88</v>
      </c>
      <c r="J6" s="239">
        <v>133.88</v>
      </c>
      <c r="K6" s="239">
        <v>130.08000000000001</v>
      </c>
      <c r="L6" s="239">
        <v>126.77</v>
      </c>
      <c r="M6" s="239">
        <v>128.54</v>
      </c>
      <c r="N6" s="239">
        <v>130.57</v>
      </c>
      <c r="O6" s="239">
        <v>133.56</v>
      </c>
      <c r="P6" s="240">
        <v>135.31</v>
      </c>
      <c r="Q6" s="240">
        <v>134.56</v>
      </c>
      <c r="R6" s="242">
        <v>135</v>
      </c>
      <c r="S6" s="243">
        <v>133.05000000000001</v>
      </c>
      <c r="T6" s="243">
        <v>128.38999999999999</v>
      </c>
      <c r="U6" s="244">
        <v>126.88</v>
      </c>
      <c r="V6" s="244">
        <v>127.86</v>
      </c>
      <c r="W6" s="244">
        <v>128.69</v>
      </c>
      <c r="X6" s="244">
        <v>129.37</v>
      </c>
      <c r="Y6" s="66">
        <v>134.69999999999999</v>
      </c>
      <c r="Z6" s="66">
        <v>139.41999999999999</v>
      </c>
      <c r="AA6" s="66">
        <v>140.28</v>
      </c>
      <c r="AB6" s="66">
        <v>145.86000000000001</v>
      </c>
      <c r="AC6" s="66">
        <v>149.5</v>
      </c>
      <c r="AD6" s="66">
        <v>174.92</v>
      </c>
      <c r="AE6" s="66">
        <v>188.02</v>
      </c>
      <c r="AF6" s="66">
        <v>188.82</v>
      </c>
      <c r="AG6" s="66">
        <v>188.9</v>
      </c>
    </row>
    <row r="7" spans="1:33" s="66" customFormat="1" ht="17.25">
      <c r="B7" s="238" t="s">
        <v>126</v>
      </c>
      <c r="C7" s="239">
        <v>106.63</v>
      </c>
      <c r="D7" s="239">
        <v>107.11</v>
      </c>
      <c r="E7" s="239">
        <v>106.91</v>
      </c>
      <c r="F7" s="239">
        <v>103.7</v>
      </c>
      <c r="G7" s="239">
        <v>101.17</v>
      </c>
      <c r="H7" s="239">
        <v>102.58</v>
      </c>
      <c r="I7" s="239">
        <v>103.7</v>
      </c>
      <c r="J7" s="239">
        <v>103.92</v>
      </c>
      <c r="K7" s="239">
        <v>103.19</v>
      </c>
      <c r="L7" s="239">
        <v>103.42</v>
      </c>
      <c r="M7" s="239">
        <v>107.41</v>
      </c>
      <c r="N7" s="239">
        <v>107.89</v>
      </c>
      <c r="O7" s="239">
        <v>110.97</v>
      </c>
      <c r="P7" s="240">
        <v>110.22</v>
      </c>
      <c r="Q7" s="240">
        <v>109.87</v>
      </c>
      <c r="R7" s="242">
        <v>111.67</v>
      </c>
      <c r="S7" s="243">
        <v>110.63</v>
      </c>
      <c r="T7" s="243">
        <v>109.47</v>
      </c>
      <c r="U7" s="335">
        <v>107.53</v>
      </c>
      <c r="V7" s="335">
        <v>112.06</v>
      </c>
      <c r="W7" s="335">
        <v>113.3</v>
      </c>
      <c r="X7" s="335">
        <v>113.71</v>
      </c>
      <c r="Y7" s="335">
        <v>117</v>
      </c>
      <c r="Z7" s="335">
        <v>119.13</v>
      </c>
      <c r="AA7" s="335">
        <v>119.13</v>
      </c>
      <c r="AB7" s="335">
        <v>117.3</v>
      </c>
      <c r="AC7" s="335">
        <v>122.94</v>
      </c>
      <c r="AD7" s="335">
        <v>129.16999999999999</v>
      </c>
      <c r="AE7" s="335">
        <v>142.43</v>
      </c>
      <c r="AF7" s="335">
        <v>144.93</v>
      </c>
      <c r="AG7" s="335">
        <v>151.08000000000001</v>
      </c>
    </row>
    <row r="8" spans="1:33" s="66" customFormat="1" ht="17.25">
      <c r="B8" s="238" t="s">
        <v>367</v>
      </c>
      <c r="C8" s="241">
        <v>87.4</v>
      </c>
      <c r="D8" s="241">
        <v>86.93</v>
      </c>
      <c r="E8" s="241">
        <v>89.38</v>
      </c>
      <c r="F8" s="241">
        <v>81.75</v>
      </c>
      <c r="G8" s="241">
        <v>81.75</v>
      </c>
      <c r="H8" s="241">
        <v>81.75</v>
      </c>
      <c r="I8" s="241">
        <v>84.9</v>
      </c>
      <c r="J8" s="241">
        <v>90.38</v>
      </c>
      <c r="K8" s="241">
        <v>90.16</v>
      </c>
      <c r="L8" s="241">
        <v>90.02</v>
      </c>
      <c r="M8" s="241">
        <v>99.24</v>
      </c>
      <c r="N8" s="241">
        <v>95.38</v>
      </c>
      <c r="O8" s="241">
        <v>95.69</v>
      </c>
      <c r="P8" s="241">
        <v>95.84</v>
      </c>
      <c r="Q8" s="242">
        <v>94.82</v>
      </c>
      <c r="R8" s="242">
        <v>94.82</v>
      </c>
      <c r="S8" s="243">
        <v>95.67</v>
      </c>
      <c r="T8" s="243">
        <v>95.67</v>
      </c>
      <c r="U8" s="244">
        <v>93.04</v>
      </c>
      <c r="V8" s="336">
        <v>95.17</v>
      </c>
      <c r="W8" s="336">
        <v>90.44</v>
      </c>
      <c r="X8" s="336">
        <v>88.8</v>
      </c>
      <c r="Y8" s="336">
        <v>90.27</v>
      </c>
      <c r="Z8" s="336">
        <v>94.25</v>
      </c>
      <c r="AA8" s="336">
        <v>87.9</v>
      </c>
      <c r="AB8" s="336">
        <v>87.19</v>
      </c>
      <c r="AC8" s="336">
        <v>83.26</v>
      </c>
      <c r="AD8" s="336">
        <v>82.07</v>
      </c>
      <c r="AE8" s="336">
        <v>82.07</v>
      </c>
      <c r="AF8" s="336">
        <v>82.07</v>
      </c>
      <c r="AG8" s="336">
        <v>90.74</v>
      </c>
    </row>
    <row r="9" spans="1:33" ht="17.25">
      <c r="B9" s="238" t="s">
        <v>128</v>
      </c>
      <c r="C9" s="239">
        <v>120.91</v>
      </c>
      <c r="D9" s="239">
        <v>124.67</v>
      </c>
      <c r="E9" s="239">
        <v>126.64</v>
      </c>
      <c r="F9" s="239">
        <v>127.05</v>
      </c>
      <c r="G9" s="239">
        <v>132.69</v>
      </c>
      <c r="H9" s="239">
        <v>131.91</v>
      </c>
      <c r="I9" s="239">
        <v>133</v>
      </c>
      <c r="J9" s="239">
        <v>134.02000000000001</v>
      </c>
      <c r="K9" s="239">
        <v>130.21</v>
      </c>
      <c r="L9" s="239">
        <v>126.88</v>
      </c>
      <c r="M9" s="239">
        <v>128.63999999999999</v>
      </c>
      <c r="N9" s="239">
        <v>130.68</v>
      </c>
      <c r="O9" s="239">
        <v>133.66999999999999</v>
      </c>
      <c r="P9" s="240">
        <v>135.41999999999999</v>
      </c>
      <c r="Q9" s="240">
        <v>134.66999999999999</v>
      </c>
      <c r="R9" s="242">
        <v>135.13</v>
      </c>
      <c r="S9" s="243">
        <v>133.16</v>
      </c>
      <c r="T9" s="243">
        <v>128.47999999999999</v>
      </c>
      <c r="U9" s="244">
        <v>126.99</v>
      </c>
      <c r="V9" s="244">
        <v>127.95</v>
      </c>
      <c r="W9" s="337">
        <v>128.76</v>
      </c>
      <c r="X9" s="338">
        <v>129.44999999999999</v>
      </c>
      <c r="Y9" s="338">
        <v>134.78</v>
      </c>
      <c r="Z9" s="338">
        <v>139.52000000000001</v>
      </c>
      <c r="AA9" s="338">
        <v>140.38</v>
      </c>
      <c r="AB9" s="338">
        <v>145.97999999999999</v>
      </c>
      <c r="AC9" s="338">
        <v>149.62</v>
      </c>
      <c r="AD9" s="338">
        <v>175.11</v>
      </c>
      <c r="AE9" s="338">
        <v>188.22</v>
      </c>
      <c r="AF9" s="338">
        <v>189.01</v>
      </c>
      <c r="AG9" s="338">
        <v>189.06</v>
      </c>
    </row>
    <row r="10" spans="1:33" s="66" customFormat="1" ht="17.25">
      <c r="B10" s="70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</row>
    <row r="11" spans="1:33" s="66" customFormat="1" ht="17.25">
      <c r="A11" s="149" t="s">
        <v>345</v>
      </c>
      <c r="B11" s="220" t="s">
        <v>125</v>
      </c>
      <c r="C11" s="40"/>
      <c r="D11" s="223">
        <f>(D6-C6)/C6*100</f>
        <v>3.1032770605759681</v>
      </c>
      <c r="E11" s="223">
        <f>(E6-D6)/D6*100</f>
        <v>1.5651336383337371</v>
      </c>
      <c r="F11" s="223">
        <f t="shared" ref="F11:O11" si="0">(F6-E6)/E6*100</f>
        <v>0.31610557926346727</v>
      </c>
      <c r="G11" s="223">
        <f t="shared" si="0"/>
        <v>4.4194107452339795</v>
      </c>
      <c r="H11" s="223">
        <f>(H6-G6)/G6*100</f>
        <v>-0.58091286307054713</v>
      </c>
      <c r="I11" s="223">
        <f t="shared" si="0"/>
        <v>0.83472454090149817</v>
      </c>
      <c r="J11" s="223">
        <f t="shared" si="0"/>
        <v>0.75255869957856714</v>
      </c>
      <c r="K11" s="223">
        <f t="shared" si="0"/>
        <v>-2.8383627128771907</v>
      </c>
      <c r="L11" s="223">
        <f t="shared" si="0"/>
        <v>-2.5445879458794711</v>
      </c>
      <c r="M11" s="223">
        <f t="shared" si="0"/>
        <v>1.3962293918119397</v>
      </c>
      <c r="N11" s="223">
        <f t="shared" si="0"/>
        <v>1.5792749338727252</v>
      </c>
      <c r="O11" s="223">
        <f t="shared" si="0"/>
        <v>2.2899594087462734</v>
      </c>
      <c r="P11" s="223">
        <f>(P6-O6)/O6*100</f>
        <v>1.3102725366876309</v>
      </c>
      <c r="Q11" s="223">
        <f>(Q6-P6)/P6*100</f>
        <v>-0.55428275811100436</v>
      </c>
      <c r="R11" s="223">
        <f>(R6-Q6)/Q6*100</f>
        <v>0.32699167657550365</v>
      </c>
      <c r="S11" s="223">
        <f t="shared" ref="S11:T11" si="1">(S6-R6)/R6*100</f>
        <v>-1.444444444444436</v>
      </c>
      <c r="T11" s="223">
        <f t="shared" si="1"/>
        <v>-3.5024426907177935</v>
      </c>
      <c r="U11" s="223">
        <f>(U6-T6)/T6*100</f>
        <v>-1.1761040579484314</v>
      </c>
      <c r="V11" s="223">
        <f t="shared" ref="V11:X14" si="2">(V6-U6)/U6*100</f>
        <v>0.77238335435057059</v>
      </c>
      <c r="W11" s="223">
        <f t="shared" si="2"/>
        <v>0.64914750508368391</v>
      </c>
      <c r="X11" s="223">
        <f>(X6-W6)/W6*100</f>
        <v>0.52840158520476088</v>
      </c>
      <c r="Y11" s="223">
        <f t="shared" ref="Y11:Y14" si="3">(Y6-X6)/X6*100</f>
        <v>4.1199659890237186</v>
      </c>
      <c r="Z11" s="223">
        <f t="shared" ref="Z11:Z14" si="4">(Z6-Y6)/Y6*100</f>
        <v>3.5040831477357086</v>
      </c>
      <c r="AA11" s="223">
        <f t="shared" ref="AA11:AC14" si="5">(AA6-Z6)/Z6*100</f>
        <v>0.61684119925406233</v>
      </c>
      <c r="AB11" s="223">
        <f t="shared" si="5"/>
        <v>3.9777587681779387</v>
      </c>
      <c r="AC11" s="223">
        <f t="shared" si="5"/>
        <v>2.4955436720142505</v>
      </c>
      <c r="AD11" s="223">
        <f t="shared" ref="AD11:AD14" si="6">(AD6-AC6)/AC6*100</f>
        <v>17.003344481605343</v>
      </c>
      <c r="AE11" s="223">
        <f t="shared" ref="AE11:AG14" si="7">(AE6-AD6)/AD6*100</f>
        <v>7.4891378916076059</v>
      </c>
      <c r="AF11" s="223">
        <f t="shared" si="7"/>
        <v>0.42548665035633598</v>
      </c>
      <c r="AG11" s="223">
        <f>(AG6-AF6)/AF6*100</f>
        <v>4.236839317869532E-2</v>
      </c>
    </row>
    <row r="12" spans="1:33" ht="17.25">
      <c r="A12" s="149"/>
      <c r="B12" s="220" t="s">
        <v>126</v>
      </c>
      <c r="C12" s="21"/>
      <c r="D12" s="223">
        <f t="shared" ref="D12:Q14" si="8">(D7-C7)/C7*100</f>
        <v>0.45015474069211669</v>
      </c>
      <c r="E12" s="223">
        <f t="shared" si="8"/>
        <v>-0.1867239286714619</v>
      </c>
      <c r="F12" s="223">
        <f t="shared" si="8"/>
        <v>-3.0025254887288315</v>
      </c>
      <c r="G12" s="223">
        <f t="shared" si="8"/>
        <v>-2.4397299903567995</v>
      </c>
      <c r="H12" s="223">
        <f t="shared" si="8"/>
        <v>1.393693782741916</v>
      </c>
      <c r="I12" s="223">
        <f t="shared" si="8"/>
        <v>1.0918307662312385</v>
      </c>
      <c r="J12" s="223">
        <f t="shared" si="8"/>
        <v>0.21215043394406832</v>
      </c>
      <c r="K12" s="223">
        <f t="shared" si="8"/>
        <v>-0.70246343341031947</v>
      </c>
      <c r="L12" s="223">
        <f t="shared" si="8"/>
        <v>0.22288981490454887</v>
      </c>
      <c r="M12" s="223">
        <f t="shared" si="8"/>
        <v>3.858054534906203</v>
      </c>
      <c r="N12" s="223">
        <f t="shared" si="8"/>
        <v>0.44688576482636994</v>
      </c>
      <c r="O12" s="223">
        <f t="shared" si="8"/>
        <v>2.8547594772453411</v>
      </c>
      <c r="P12" s="223">
        <f t="shared" si="8"/>
        <v>-0.6758583400919167</v>
      </c>
      <c r="Q12" s="223">
        <f>(Q7-P7)/P7*100</f>
        <v>-0.31754672473234835</v>
      </c>
      <c r="R12" s="223">
        <f>(R7-Q7)/Q7*100</f>
        <v>1.6382998088650198</v>
      </c>
      <c r="S12" s="223">
        <f t="shared" ref="S12:U12" si="9">(S7-R7)/R7*100</f>
        <v>-0.93131548311991241</v>
      </c>
      <c r="T12" s="223">
        <f t="shared" si="9"/>
        <v>-1.0485401789749584</v>
      </c>
      <c r="U12" s="223">
        <f t="shared" si="9"/>
        <v>-1.7721750251210355</v>
      </c>
      <c r="V12" s="223">
        <f t="shared" si="2"/>
        <v>4.2127778294429472</v>
      </c>
      <c r="W12" s="223">
        <f t="shared" si="2"/>
        <v>1.1065500624665312</v>
      </c>
      <c r="X12" s="223">
        <f t="shared" si="2"/>
        <v>0.36187113857016467</v>
      </c>
      <c r="Y12" s="223">
        <f t="shared" si="3"/>
        <v>2.8933251253187993</v>
      </c>
      <c r="Z12" s="223">
        <f t="shared" si="4"/>
        <v>1.8205128205128165</v>
      </c>
      <c r="AA12" s="223">
        <f t="shared" si="5"/>
        <v>0</v>
      </c>
      <c r="AB12" s="223">
        <f t="shared" si="5"/>
        <v>-1.5361369932007036</v>
      </c>
      <c r="AC12" s="223">
        <f t="shared" si="5"/>
        <v>4.8081841432225065</v>
      </c>
      <c r="AD12" s="223">
        <f t="shared" si="6"/>
        <v>5.067512607776143</v>
      </c>
      <c r="AE12" s="223">
        <f t="shared" si="7"/>
        <v>10.265541534412032</v>
      </c>
      <c r="AF12" s="223">
        <f t="shared" si="7"/>
        <v>1.7552481920943621</v>
      </c>
      <c r="AG12" s="223">
        <f>(AG7-AF7)/AF7*100</f>
        <v>4.2434278617263548</v>
      </c>
    </row>
    <row r="13" spans="1:33" s="66" customFormat="1" ht="17.25">
      <c r="A13" s="149"/>
      <c r="B13" s="220" t="s">
        <v>127</v>
      </c>
      <c r="C13" s="21"/>
      <c r="D13" s="223">
        <f t="shared" si="8"/>
        <v>-0.53775743707093693</v>
      </c>
      <c r="E13" s="223">
        <f t="shared" si="8"/>
        <v>2.8183595996778883</v>
      </c>
      <c r="F13" s="223">
        <f t="shared" si="8"/>
        <v>-8.5365853658536537</v>
      </c>
      <c r="G13" s="223">
        <f t="shared" si="8"/>
        <v>0</v>
      </c>
      <c r="H13" s="223">
        <f t="shared" si="8"/>
        <v>0</v>
      </c>
      <c r="I13" s="223">
        <f t="shared" si="8"/>
        <v>3.853211009174319</v>
      </c>
      <c r="J13" s="223">
        <f t="shared" si="8"/>
        <v>6.4546525323910364</v>
      </c>
      <c r="K13" s="223">
        <f t="shared" si="8"/>
        <v>-0.24341668510732337</v>
      </c>
      <c r="L13" s="223">
        <f t="shared" si="8"/>
        <v>-0.15527950310559069</v>
      </c>
      <c r="M13" s="223">
        <f t="shared" si="8"/>
        <v>10.242168407020662</v>
      </c>
      <c r="N13" s="223">
        <f t="shared" si="8"/>
        <v>-3.8895606610237805</v>
      </c>
      <c r="O13" s="223">
        <f t="shared" si="8"/>
        <v>0.32501572656741695</v>
      </c>
      <c r="P13" s="223">
        <f>(P8-O8)/O8*100</f>
        <v>0.15675619186958481</v>
      </c>
      <c r="Q13" s="223">
        <f t="shared" si="8"/>
        <v>-1.0642737896494263</v>
      </c>
      <c r="R13" s="223">
        <f>(R8-Q8)/Q8*100</f>
        <v>0</v>
      </c>
      <c r="S13" s="223">
        <f t="shared" ref="S13:U13" si="10">(S8-R8)/R8*100</f>
        <v>0.89643535119174078</v>
      </c>
      <c r="T13" s="223">
        <f t="shared" si="10"/>
        <v>0</v>
      </c>
      <c r="U13" s="223">
        <f t="shared" si="10"/>
        <v>-2.7490331347339763</v>
      </c>
      <c r="V13" s="223">
        <f>(V8-U8)/U8*100</f>
        <v>2.2893379191745433</v>
      </c>
      <c r="W13" s="223">
        <f>(W8-V8)/V8*100</f>
        <v>-4.9700535883156496</v>
      </c>
      <c r="X13" s="223">
        <f>(X8-W8)/W8*100</f>
        <v>-1.8133569217160557</v>
      </c>
      <c r="Y13" s="223">
        <f t="shared" si="3"/>
        <v>1.6554054054054042</v>
      </c>
      <c r="Z13" s="223">
        <f t="shared" si="4"/>
        <v>4.4089952365126885</v>
      </c>
      <c r="AA13" s="223">
        <f t="shared" ref="AA13:AB14" si="11">(AA8-Z8)/Z8*100</f>
        <v>-6.7374005305039733</v>
      </c>
      <c r="AB13" s="223">
        <f t="shared" si="11"/>
        <v>-0.80773606370876905</v>
      </c>
      <c r="AC13" s="223">
        <f t="shared" si="5"/>
        <v>-4.5073976373437237</v>
      </c>
      <c r="AD13" s="223">
        <f t="shared" si="6"/>
        <v>-1.4292577468172134</v>
      </c>
      <c r="AE13" s="223">
        <f t="shared" ref="AE13:AF14" si="12">(AE8-AD8)/AD8*100</f>
        <v>0</v>
      </c>
      <c r="AF13" s="223">
        <f t="shared" si="12"/>
        <v>0</v>
      </c>
      <c r="AG13" s="223">
        <f>(AG8-AF8)/AF8*100</f>
        <v>10.56415255269892</v>
      </c>
    </row>
    <row r="14" spans="1:33" s="66" customFormat="1" ht="17.25">
      <c r="A14" s="149"/>
      <c r="B14" s="220" t="s">
        <v>128</v>
      </c>
      <c r="C14" s="21"/>
      <c r="D14" s="223">
        <f t="shared" si="8"/>
        <v>3.1097510545033535</v>
      </c>
      <c r="E14" s="223">
        <f t="shared" si="8"/>
        <v>1.5801716531643528</v>
      </c>
      <c r="F14" s="223">
        <f t="shared" si="8"/>
        <v>0.32375236891976988</v>
      </c>
      <c r="G14" s="223">
        <f t="shared" si="8"/>
        <v>4.4391971664698948</v>
      </c>
      <c r="H14" s="223">
        <f t="shared" si="8"/>
        <v>-0.58783631019669991</v>
      </c>
      <c r="I14" s="223">
        <f t="shared" si="8"/>
        <v>0.82632097642332158</v>
      </c>
      <c r="J14" s="223">
        <f t="shared" si="8"/>
        <v>0.76691729323309032</v>
      </c>
      <c r="K14" s="223">
        <f t="shared" si="8"/>
        <v>-2.8428592747351153</v>
      </c>
      <c r="L14" s="223">
        <f t="shared" si="8"/>
        <v>-2.557407265187015</v>
      </c>
      <c r="M14" s="223">
        <f t="shared" si="8"/>
        <v>1.3871374527112159</v>
      </c>
      <c r="N14" s="223">
        <f t="shared" si="8"/>
        <v>1.585820895522404</v>
      </c>
      <c r="O14" s="223">
        <f t="shared" si="8"/>
        <v>2.2880318334863641</v>
      </c>
      <c r="P14" s="223">
        <f>(P9-O9)/O9*100</f>
        <v>1.3091942844318099</v>
      </c>
      <c r="Q14" s="223">
        <f t="shared" si="8"/>
        <v>-0.55383252104563585</v>
      </c>
      <c r="R14" s="223">
        <f>(R9-Q9)/Q9*100</f>
        <v>0.34157570357169975</v>
      </c>
      <c r="S14" s="223">
        <f t="shared" ref="S14:U14" si="13">(S9-R9)/R9*100</f>
        <v>-1.4578553985051423</v>
      </c>
      <c r="T14" s="223">
        <f t="shared" si="13"/>
        <v>-3.5145689396215132</v>
      </c>
      <c r="U14" s="223">
        <f t="shared" si="13"/>
        <v>-1.1597135740971318</v>
      </c>
      <c r="V14" s="223">
        <f t="shared" si="2"/>
        <v>0.75596503661706282</v>
      </c>
      <c r="W14" s="223">
        <f t="shared" si="2"/>
        <v>0.63305978898006099</v>
      </c>
      <c r="X14" s="223">
        <f t="shared" si="2"/>
        <v>0.53588070829449963</v>
      </c>
      <c r="Y14" s="223">
        <f t="shared" si="3"/>
        <v>4.1174198532251935</v>
      </c>
      <c r="Z14" s="223">
        <f t="shared" si="4"/>
        <v>3.5168422614631316</v>
      </c>
      <c r="AA14" s="223">
        <f t="shared" si="11"/>
        <v>0.61639908256879672</v>
      </c>
      <c r="AB14" s="223">
        <f t="shared" si="11"/>
        <v>3.9891722467587938</v>
      </c>
      <c r="AC14" s="223">
        <f t="shared" si="5"/>
        <v>2.4934922592136011</v>
      </c>
      <c r="AD14" s="223">
        <f t="shared" si="6"/>
        <v>17.036492447533757</v>
      </c>
      <c r="AE14" s="223">
        <f t="shared" si="12"/>
        <v>7.4867226314887692</v>
      </c>
      <c r="AF14" s="223">
        <f>(AF9-AE9)/AE9*100</f>
        <v>0.41972160238018918</v>
      </c>
      <c r="AG14" s="223">
        <f t="shared" si="7"/>
        <v>2.6453626792239233E-2</v>
      </c>
    </row>
    <row r="15" spans="1:33" s="66" customFormat="1"/>
    <row r="16" spans="1:33" s="66" customFormat="1"/>
    <row r="17" spans="1:33" s="66" customFormat="1" ht="17.25">
      <c r="B17" s="222" t="s">
        <v>131</v>
      </c>
      <c r="C17" s="83" t="s">
        <v>129</v>
      </c>
      <c r="D17" s="83" t="s">
        <v>44</v>
      </c>
      <c r="E17" s="83" t="s">
        <v>45</v>
      </c>
      <c r="F17" s="83" t="s">
        <v>46</v>
      </c>
      <c r="G17" s="83" t="s">
        <v>47</v>
      </c>
      <c r="H17" s="83" t="s">
        <v>48</v>
      </c>
      <c r="I17" s="83" t="s">
        <v>49</v>
      </c>
      <c r="J17" s="245" t="s">
        <v>50</v>
      </c>
      <c r="K17" s="245" t="s">
        <v>51</v>
      </c>
      <c r="L17" s="245" t="s">
        <v>52</v>
      </c>
      <c r="M17" s="245" t="s">
        <v>53</v>
      </c>
      <c r="N17" s="245" t="s">
        <v>54</v>
      </c>
      <c r="O17" s="245" t="s">
        <v>55</v>
      </c>
      <c r="P17" s="245" t="s">
        <v>56</v>
      </c>
      <c r="Q17" s="245" t="s">
        <v>57</v>
      </c>
      <c r="R17" s="245" t="s">
        <v>58</v>
      </c>
      <c r="S17" s="245" t="s">
        <v>235</v>
      </c>
      <c r="T17" s="245" t="s">
        <v>236</v>
      </c>
      <c r="U17" s="245" t="s">
        <v>237</v>
      </c>
      <c r="V17" s="245" t="s">
        <v>360</v>
      </c>
      <c r="W17" s="245" t="s">
        <v>361</v>
      </c>
      <c r="X17" s="245" t="s">
        <v>362</v>
      </c>
      <c r="Y17" s="245" t="s">
        <v>656</v>
      </c>
      <c r="Z17" s="245" t="s">
        <v>657</v>
      </c>
      <c r="AA17" s="245" t="s">
        <v>658</v>
      </c>
      <c r="AB17" s="334">
        <v>46023</v>
      </c>
      <c r="AC17" s="334">
        <v>46054</v>
      </c>
      <c r="AD17" s="334">
        <v>46082</v>
      </c>
      <c r="AE17" s="334">
        <v>46113</v>
      </c>
      <c r="AF17" s="334">
        <v>46143</v>
      </c>
      <c r="AG17" s="334">
        <v>46174</v>
      </c>
    </row>
    <row r="18" spans="1:33" s="66" customFormat="1" ht="17.25">
      <c r="B18" s="220" t="s">
        <v>125</v>
      </c>
      <c r="C18" s="40">
        <v>132.88999999999999</v>
      </c>
      <c r="D18" s="40">
        <v>136.27000000000001</v>
      </c>
      <c r="E18" s="40">
        <v>137.63</v>
      </c>
      <c r="F18" s="40">
        <v>138.31</v>
      </c>
      <c r="G18" s="40">
        <v>143.57</v>
      </c>
      <c r="H18" s="40">
        <v>141.77000000000001</v>
      </c>
      <c r="I18" s="40">
        <v>142.63999999999999</v>
      </c>
      <c r="J18" s="246">
        <v>143.28</v>
      </c>
      <c r="K18" s="246">
        <v>138.22999999999999</v>
      </c>
      <c r="L18" s="246">
        <v>134.66999999999999</v>
      </c>
      <c r="M18" s="246">
        <v>137.55000000000001</v>
      </c>
      <c r="N18" s="246">
        <v>138.80000000000001</v>
      </c>
      <c r="O18" s="246">
        <v>141.97999999999999</v>
      </c>
      <c r="P18" s="246">
        <v>145.08000000000001</v>
      </c>
      <c r="Q18" s="246">
        <v>143.6</v>
      </c>
      <c r="R18" s="246">
        <v>143.04</v>
      </c>
      <c r="S18" s="247">
        <v>139.82</v>
      </c>
      <c r="T18" s="248">
        <v>134.61000000000001</v>
      </c>
      <c r="U18" s="335">
        <v>133.72999999999999</v>
      </c>
      <c r="V18" s="335">
        <v>134.84</v>
      </c>
      <c r="W18" s="335">
        <v>135.21</v>
      </c>
      <c r="X18" s="335">
        <v>135.56</v>
      </c>
      <c r="Y18" s="335">
        <v>138.19</v>
      </c>
      <c r="Z18" s="335">
        <v>141.47</v>
      </c>
      <c r="AA18" s="335">
        <v>142.68</v>
      </c>
      <c r="AB18" s="335">
        <v>143.74</v>
      </c>
      <c r="AC18" s="335">
        <v>145.88</v>
      </c>
      <c r="AD18" s="335">
        <v>172.16</v>
      </c>
      <c r="AE18" s="335">
        <v>168.49</v>
      </c>
      <c r="AF18" s="335">
        <v>168.78</v>
      </c>
      <c r="AG18" s="335">
        <v>161.34</v>
      </c>
    </row>
    <row r="19" spans="1:33" s="66" customFormat="1" ht="17.25">
      <c r="B19" s="220" t="s">
        <v>126</v>
      </c>
      <c r="C19" s="40">
        <v>122.79</v>
      </c>
      <c r="D19" s="40">
        <v>125.12</v>
      </c>
      <c r="E19" s="40">
        <v>125.91</v>
      </c>
      <c r="F19" s="40">
        <v>125.95</v>
      </c>
      <c r="G19" s="40">
        <v>131.09</v>
      </c>
      <c r="H19" s="40">
        <v>130.02000000000001</v>
      </c>
      <c r="I19" s="40">
        <v>132.43</v>
      </c>
      <c r="J19" s="246">
        <v>132.99</v>
      </c>
      <c r="K19" s="246">
        <v>129.6</v>
      </c>
      <c r="L19" s="246">
        <v>130.62</v>
      </c>
      <c r="M19" s="246">
        <v>131.63</v>
      </c>
      <c r="N19" s="246">
        <v>134.33000000000001</v>
      </c>
      <c r="O19" s="246">
        <v>138.34</v>
      </c>
      <c r="P19" s="246">
        <v>141.88</v>
      </c>
      <c r="Q19" s="246">
        <v>144.25</v>
      </c>
      <c r="R19" s="246">
        <v>145.66999999999999</v>
      </c>
      <c r="S19" s="248">
        <v>143.36000000000001</v>
      </c>
      <c r="T19" s="248">
        <v>136.49</v>
      </c>
      <c r="U19" s="335">
        <v>132.38</v>
      </c>
      <c r="V19" s="335">
        <v>132.21</v>
      </c>
      <c r="W19" s="335">
        <v>135.13</v>
      </c>
      <c r="X19" s="335">
        <v>135.85</v>
      </c>
      <c r="Y19" s="335">
        <v>139.13999999999999</v>
      </c>
      <c r="Z19" s="335">
        <v>143.72</v>
      </c>
      <c r="AA19" s="335">
        <v>143.80000000000001</v>
      </c>
      <c r="AB19" s="335">
        <v>142.58000000000001</v>
      </c>
      <c r="AC19" s="335">
        <v>143.04</v>
      </c>
      <c r="AD19" s="335">
        <v>148.80000000000001</v>
      </c>
      <c r="AE19" s="335">
        <v>149.72</v>
      </c>
      <c r="AF19" s="335">
        <v>150.34</v>
      </c>
      <c r="AG19" s="335">
        <v>152.54</v>
      </c>
    </row>
    <row r="20" spans="1:33" s="66" customFormat="1" ht="17.25">
      <c r="B20" s="221" t="s">
        <v>127</v>
      </c>
      <c r="C20" s="84">
        <v>137.15</v>
      </c>
      <c r="D20" s="84">
        <v>137.74</v>
      </c>
      <c r="E20" s="84">
        <v>136.77000000000001</v>
      </c>
      <c r="F20" s="84">
        <v>137.34</v>
      </c>
      <c r="G20" s="84">
        <v>143.79</v>
      </c>
      <c r="H20" s="84">
        <v>144.02000000000001</v>
      </c>
      <c r="I20" s="84">
        <v>147.66</v>
      </c>
      <c r="J20" s="249">
        <v>149.63999999999999</v>
      </c>
      <c r="K20" s="249">
        <v>144.97999999999999</v>
      </c>
      <c r="L20" s="249">
        <v>148.05000000000001</v>
      </c>
      <c r="M20" s="249">
        <v>149.04</v>
      </c>
      <c r="N20" s="249">
        <v>152.04</v>
      </c>
      <c r="O20" s="249">
        <v>156.66999999999999</v>
      </c>
      <c r="P20" s="249">
        <v>162.18</v>
      </c>
      <c r="Q20" s="250">
        <v>166.93</v>
      </c>
      <c r="R20" s="250">
        <v>166.93</v>
      </c>
      <c r="S20" s="248">
        <v>162.44</v>
      </c>
      <c r="T20" s="248">
        <v>151.66999999999999</v>
      </c>
      <c r="U20" s="335">
        <v>143.97999999999999</v>
      </c>
      <c r="V20" s="335">
        <v>141.94</v>
      </c>
      <c r="W20" s="335">
        <v>146.49</v>
      </c>
      <c r="X20" s="335">
        <v>148.54</v>
      </c>
      <c r="Y20" s="335">
        <v>151.81</v>
      </c>
      <c r="Z20" s="335">
        <v>156.51</v>
      </c>
      <c r="AA20" s="335">
        <v>154.76</v>
      </c>
      <c r="AB20" s="335">
        <v>151.51</v>
      </c>
      <c r="AC20" s="335">
        <v>152.04</v>
      </c>
      <c r="AD20" s="335">
        <v>160.1</v>
      </c>
      <c r="AE20" s="335">
        <v>160.38</v>
      </c>
      <c r="AF20" s="335">
        <v>161.26</v>
      </c>
      <c r="AG20" s="335">
        <v>163.66</v>
      </c>
    </row>
    <row r="21" spans="1:33" s="66" customFormat="1" ht="17.25">
      <c r="B21" s="220" t="s">
        <v>128</v>
      </c>
      <c r="C21" s="40">
        <v>119.28</v>
      </c>
      <c r="D21" s="40">
        <v>121.46</v>
      </c>
      <c r="E21" s="40">
        <v>122.11</v>
      </c>
      <c r="F21" s="40">
        <v>122.49</v>
      </c>
      <c r="G21" s="40">
        <v>126.21</v>
      </c>
      <c r="H21" s="40">
        <v>125.82</v>
      </c>
      <c r="I21" s="40">
        <v>126.58</v>
      </c>
      <c r="J21" s="246">
        <v>127.07</v>
      </c>
      <c r="K21" s="246">
        <v>124.68</v>
      </c>
      <c r="L21" s="246">
        <v>122.24</v>
      </c>
      <c r="M21" s="246">
        <v>123.79</v>
      </c>
      <c r="N21" s="246">
        <v>125.21</v>
      </c>
      <c r="O21" s="246">
        <v>127.87</v>
      </c>
      <c r="P21" s="246">
        <v>129.56</v>
      </c>
      <c r="Q21" s="246">
        <v>128.94</v>
      </c>
      <c r="R21" s="246">
        <v>130.07</v>
      </c>
      <c r="S21" s="248">
        <v>128.55000000000001</v>
      </c>
      <c r="T21" s="248">
        <v>124.55</v>
      </c>
      <c r="U21" s="335">
        <v>122.9</v>
      </c>
      <c r="V21" s="335">
        <v>123.51</v>
      </c>
      <c r="W21" s="335">
        <v>124.19</v>
      </c>
      <c r="X21" s="335">
        <v>124.62</v>
      </c>
      <c r="Y21" s="335">
        <v>128.27000000000001</v>
      </c>
      <c r="Z21" s="335">
        <v>131.12</v>
      </c>
      <c r="AA21" s="335">
        <v>132.47</v>
      </c>
      <c r="AB21" s="335">
        <v>133.26</v>
      </c>
      <c r="AC21" s="335">
        <v>133.85</v>
      </c>
      <c r="AD21" s="335">
        <v>146.03</v>
      </c>
      <c r="AE21" s="335">
        <v>148.69999999999999</v>
      </c>
      <c r="AF21" s="335">
        <v>149.35</v>
      </c>
      <c r="AG21" s="335">
        <v>146.66999999999999</v>
      </c>
    </row>
    <row r="22" spans="1:33" s="66" customFormat="1" ht="17.25">
      <c r="B22" s="70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</row>
    <row r="23" spans="1:33" s="66" customFormat="1" ht="17.25">
      <c r="A23" s="149" t="s">
        <v>345</v>
      </c>
      <c r="B23" s="220" t="s">
        <v>125</v>
      </c>
      <c r="C23" s="40"/>
      <c r="D23" s="223">
        <f>(D18-C18)/C18*100</f>
        <v>2.5434569945067533</v>
      </c>
      <c r="E23" s="223">
        <f t="shared" ref="E23:O23" si="14">(E18-D18)/D18*100</f>
        <v>0.99801863946575553</v>
      </c>
      <c r="F23" s="223">
        <f t="shared" si="14"/>
        <v>0.49407832594638296</v>
      </c>
      <c r="G23" s="223">
        <f t="shared" si="14"/>
        <v>3.8030511170558818</v>
      </c>
      <c r="H23" s="223">
        <f t="shared" si="14"/>
        <v>-1.2537438183464396</v>
      </c>
      <c r="I23" s="223">
        <f t="shared" si="14"/>
        <v>0.61367002892006495</v>
      </c>
      <c r="J23" s="223">
        <f t="shared" si="14"/>
        <v>0.44868199663489544</v>
      </c>
      <c r="K23" s="223">
        <f t="shared" si="14"/>
        <v>-3.5245672808486956</v>
      </c>
      <c r="L23" s="223">
        <f t="shared" si="14"/>
        <v>-2.5754177819576087</v>
      </c>
      <c r="M23" s="223">
        <f t="shared" si="14"/>
        <v>2.138560926709753</v>
      </c>
      <c r="N23" s="223">
        <f t="shared" si="14"/>
        <v>0.90876045074518352</v>
      </c>
      <c r="O23" s="223">
        <f t="shared" si="14"/>
        <v>2.2910662824207337</v>
      </c>
      <c r="P23" s="223">
        <f>(P18-O18)/O18*100</f>
        <v>2.1834061135371341</v>
      </c>
      <c r="Q23" s="223">
        <f t="shared" ref="P23:R24" si="15">(Q18-P18)/P18*100</f>
        <v>-1.0201268265784518</v>
      </c>
      <c r="R23" s="223">
        <f t="shared" si="15"/>
        <v>-0.38997214484679826</v>
      </c>
      <c r="S23" s="223">
        <f t="shared" ref="S23:S26" si="16">(S18-R18)/R18*100</f>
        <v>-2.2511185682326613</v>
      </c>
      <c r="T23" s="223">
        <f t="shared" ref="T23:T26" si="17">(T18-S18)/S18*100</f>
        <v>-3.7262194249749534</v>
      </c>
      <c r="U23" s="223">
        <f>(U18-T18)/T18*100</f>
        <v>-0.65374043533171666</v>
      </c>
      <c r="V23" s="223">
        <f>(V18-U18)/U18*100</f>
        <v>0.83003065879010984</v>
      </c>
      <c r="W23" s="223">
        <f t="shared" ref="W23:Z26" si="18">(W18-V18)/V18*100</f>
        <v>0.27439928804509384</v>
      </c>
      <c r="X23" s="223">
        <f t="shared" si="18"/>
        <v>0.258856593447226</v>
      </c>
      <c r="Y23" s="223">
        <f t="shared" si="18"/>
        <v>1.9401003245795185</v>
      </c>
      <c r="Z23" s="223">
        <f t="shared" si="18"/>
        <v>2.3735436717562788</v>
      </c>
      <c r="AA23" s="223">
        <f t="shared" ref="AA23:AA26" si="19">(AA18-Z18)/Z18*100</f>
        <v>0.85530501166325568</v>
      </c>
      <c r="AB23" s="223">
        <f t="shared" ref="AB23:AD26" si="20">(AB18-AA18)/AA18*100</f>
        <v>0.74292122231567304</v>
      </c>
      <c r="AC23" s="223">
        <f t="shared" si="20"/>
        <v>1.4887992208153515</v>
      </c>
      <c r="AD23" s="223">
        <f t="shared" si="20"/>
        <v>18.014806690430493</v>
      </c>
      <c r="AE23" s="223">
        <f>(AE18-AD18)/AD18*100</f>
        <v>-2.131737918215606</v>
      </c>
      <c r="AF23" s="223">
        <f t="shared" ref="AF23:AF26" si="21">(AF18-AE18)/AE18*100</f>
        <v>0.17211703958691435</v>
      </c>
      <c r="AG23" s="223">
        <f>(AG18-AF18)/AF18*100</f>
        <v>-4.4081052257376454</v>
      </c>
    </row>
    <row r="24" spans="1:33" s="66" customFormat="1" ht="17.25">
      <c r="A24" s="149"/>
      <c r="B24" s="220" t="s">
        <v>126</v>
      </c>
      <c r="C24" s="40"/>
      <c r="D24" s="223">
        <f t="shared" ref="D24:P26" si="22">(D19-C19)/C19*100</f>
        <v>1.8975486603143563</v>
      </c>
      <c r="E24" s="223">
        <f t="shared" si="22"/>
        <v>0.63139386189257674</v>
      </c>
      <c r="F24" s="223">
        <f t="shared" si="22"/>
        <v>3.1768723691530658E-2</v>
      </c>
      <c r="G24" s="223">
        <f t="shared" si="22"/>
        <v>4.0809845176657404</v>
      </c>
      <c r="H24" s="223">
        <f t="shared" si="22"/>
        <v>-0.8162331222823962</v>
      </c>
      <c r="I24" s="223">
        <f t="shared" si="22"/>
        <v>1.8535609906168253</v>
      </c>
      <c r="J24" s="223">
        <f t="shared" si="22"/>
        <v>0.42286490976365043</v>
      </c>
      <c r="K24" s="223">
        <f t="shared" si="22"/>
        <v>-2.5490638393864309</v>
      </c>
      <c r="L24" s="223">
        <f t="shared" si="22"/>
        <v>0.78703703703704497</v>
      </c>
      <c r="M24" s="223">
        <f t="shared" si="22"/>
        <v>0.77323533915173093</v>
      </c>
      <c r="N24" s="223">
        <f t="shared" si="22"/>
        <v>2.0512041327964878</v>
      </c>
      <c r="O24" s="223">
        <f t="shared" si="22"/>
        <v>2.9851857366187677</v>
      </c>
      <c r="P24" s="223">
        <f t="shared" si="15"/>
        <v>2.5589128234783804</v>
      </c>
      <c r="Q24" s="223">
        <f t="shared" si="15"/>
        <v>1.6704257118691885</v>
      </c>
      <c r="R24" s="223">
        <f>(R19-Q19)/Q19*100</f>
        <v>0.984402079722695</v>
      </c>
      <c r="S24" s="223">
        <f t="shared" si="16"/>
        <v>-1.5857760691974834</v>
      </c>
      <c r="T24" s="223">
        <f t="shared" si="17"/>
        <v>-4.7921316964285738</v>
      </c>
      <c r="U24" s="223">
        <f>(U19-T19)/T19*100</f>
        <v>-3.0112096124258287</v>
      </c>
      <c r="V24" s="223">
        <f t="shared" ref="V24:X26" si="23">(V19-U19)/U19*100</f>
        <v>-0.12841819005891184</v>
      </c>
      <c r="W24" s="223">
        <f t="shared" si="23"/>
        <v>2.208607518342022</v>
      </c>
      <c r="X24" s="223">
        <f t="shared" si="23"/>
        <v>0.53282024716939158</v>
      </c>
      <c r="Y24" s="223">
        <f t="shared" ref="Y24:Y26" si="24">(Y19-X19)/X19*100</f>
        <v>2.4217887375782055</v>
      </c>
      <c r="Z24" s="223">
        <f t="shared" si="18"/>
        <v>3.2916486991519425</v>
      </c>
      <c r="AA24" s="223">
        <f t="shared" si="19"/>
        <v>5.5663790704155655E-2</v>
      </c>
      <c r="AB24" s="223">
        <f t="shared" si="20"/>
        <v>-0.84840055632823286</v>
      </c>
      <c r="AC24" s="223">
        <f t="shared" ref="AC24:AC26" si="25">(AC19-AB19)/AB19*100</f>
        <v>0.3226258942348012</v>
      </c>
      <c r="AD24" s="223">
        <f t="shared" si="20"/>
        <v>4.0268456375839063</v>
      </c>
      <c r="AE24" s="223">
        <f>(AE19-AD19)/AD19*100</f>
        <v>0.61827956989246469</v>
      </c>
      <c r="AF24" s="223">
        <f t="shared" si="21"/>
        <v>0.41410633181939926</v>
      </c>
      <c r="AG24" s="223">
        <f>(AG19-AF19)/AF19*100</f>
        <v>1.4633497405879929</v>
      </c>
    </row>
    <row r="25" spans="1:33" s="66" customFormat="1" ht="17.25">
      <c r="A25" s="149"/>
      <c r="B25" s="220" t="s">
        <v>127</v>
      </c>
      <c r="C25" s="40"/>
      <c r="D25" s="223">
        <f t="shared" si="22"/>
        <v>0.43018592781626203</v>
      </c>
      <c r="E25" s="223">
        <f t="shared" si="22"/>
        <v>-0.70422535211267523</v>
      </c>
      <c r="F25" s="223">
        <f t="shared" si="22"/>
        <v>0.41675806097827967</v>
      </c>
      <c r="G25" s="223">
        <f t="shared" si="22"/>
        <v>4.696373962429</v>
      </c>
      <c r="H25" s="223">
        <f t="shared" si="22"/>
        <v>0.15995549064609377</v>
      </c>
      <c r="I25" s="223">
        <f t="shared" si="22"/>
        <v>2.5274267462852285</v>
      </c>
      <c r="J25" s="223">
        <f t="shared" si="22"/>
        <v>1.3409183258837802</v>
      </c>
      <c r="K25" s="223">
        <f t="shared" si="22"/>
        <v>-3.1141406041165443</v>
      </c>
      <c r="L25" s="223">
        <f t="shared" si="22"/>
        <v>2.1175334528900689</v>
      </c>
      <c r="M25" s="223">
        <f t="shared" si="22"/>
        <v>0.66869300911852791</v>
      </c>
      <c r="N25" s="223">
        <f t="shared" si="22"/>
        <v>2.0128824476650564</v>
      </c>
      <c r="O25" s="223">
        <f t="shared" si="22"/>
        <v>3.0452512496711366</v>
      </c>
      <c r="P25" s="223">
        <f t="shared" si="22"/>
        <v>3.5169464479479289</v>
      </c>
      <c r="Q25" s="223">
        <f>(Q20-P20)/P20*100</f>
        <v>2.9288444937723517</v>
      </c>
      <c r="R25" s="223">
        <f>(R20-Q20)/Q20*100</f>
        <v>0</v>
      </c>
      <c r="S25" s="223">
        <f t="shared" si="16"/>
        <v>-2.6897501946923916</v>
      </c>
      <c r="T25" s="223">
        <f t="shared" si="17"/>
        <v>-6.6301403595173669</v>
      </c>
      <c r="U25" s="223">
        <f t="shared" ref="U25:U26" si="26">(U20-T20)/T20*100</f>
        <v>-5.0702182369618241</v>
      </c>
      <c r="V25" s="223">
        <f t="shared" si="23"/>
        <v>-1.4168634532573914</v>
      </c>
      <c r="W25" s="223">
        <f t="shared" si="23"/>
        <v>3.2055798224602028</v>
      </c>
      <c r="X25" s="223">
        <f t="shared" si="23"/>
        <v>1.3994129292101734</v>
      </c>
      <c r="Y25" s="223">
        <f t="shared" si="24"/>
        <v>2.2014272249899087</v>
      </c>
      <c r="Z25" s="223">
        <f t="shared" si="18"/>
        <v>3.0959752321981346</v>
      </c>
      <c r="AA25" s="223">
        <f t="shared" si="19"/>
        <v>-1.1181394160117566</v>
      </c>
      <c r="AB25" s="223">
        <f t="shared" si="20"/>
        <v>-2.1000258464719566</v>
      </c>
      <c r="AC25" s="223">
        <f t="shared" si="25"/>
        <v>0.34981189360438331</v>
      </c>
      <c r="AD25" s="223">
        <f t="shared" si="20"/>
        <v>5.3012365167061315</v>
      </c>
      <c r="AE25" s="223">
        <f>(AE20-AD20)/AD20*100</f>
        <v>0.17489069331667778</v>
      </c>
      <c r="AF25" s="223">
        <f t="shared" si="21"/>
        <v>0.54869684499313842</v>
      </c>
      <c r="AG25" s="223">
        <f t="shared" ref="AG25:AG26" si="27">(AG20-AF20)/AF20*100</f>
        <v>1.4882797966017647</v>
      </c>
    </row>
    <row r="26" spans="1:33" s="66" customFormat="1" ht="17.25">
      <c r="A26" s="149"/>
      <c r="B26" s="220" t="s">
        <v>128</v>
      </c>
      <c r="C26" s="40"/>
      <c r="D26" s="223">
        <f t="shared" si="22"/>
        <v>1.8276324614352721</v>
      </c>
      <c r="E26" s="223">
        <f t="shared" si="22"/>
        <v>0.53515560678413121</v>
      </c>
      <c r="F26" s="223">
        <f t="shared" si="22"/>
        <v>0.31119482433870727</v>
      </c>
      <c r="G26" s="223">
        <f t="shared" si="22"/>
        <v>3.0369826108253726</v>
      </c>
      <c r="H26" s="223">
        <f t="shared" si="22"/>
        <v>-0.30900879486570049</v>
      </c>
      <c r="I26" s="223">
        <f t="shared" si="22"/>
        <v>0.6040375139087627</v>
      </c>
      <c r="J26" s="223">
        <f t="shared" si="22"/>
        <v>0.38710696792541865</v>
      </c>
      <c r="K26" s="223">
        <f t="shared" si="22"/>
        <v>-1.8808530731092992</v>
      </c>
      <c r="L26" s="223">
        <f t="shared" si="22"/>
        <v>-1.957009945460388</v>
      </c>
      <c r="M26" s="223">
        <f t="shared" si="22"/>
        <v>1.2679973821989623</v>
      </c>
      <c r="N26" s="223">
        <f t="shared" si="22"/>
        <v>1.1471039663946905</v>
      </c>
      <c r="O26" s="223">
        <f t="shared" si="22"/>
        <v>2.1244309559939389</v>
      </c>
      <c r="P26" s="223">
        <f t="shared" si="22"/>
        <v>1.3216548056619986</v>
      </c>
      <c r="Q26" s="223">
        <f>(Q21-P21)/P21*100</f>
        <v>-0.47854276011114888</v>
      </c>
      <c r="R26" s="223">
        <f>(R21-Q21)/Q21*100</f>
        <v>0.87637660927562866</v>
      </c>
      <c r="S26" s="223">
        <f t="shared" si="16"/>
        <v>-1.1686015222572321</v>
      </c>
      <c r="T26" s="223">
        <f t="shared" si="17"/>
        <v>-3.1116297160637996</v>
      </c>
      <c r="U26" s="223">
        <f t="shared" si="26"/>
        <v>-1.3247691690084236</v>
      </c>
      <c r="V26" s="223">
        <f t="shared" si="23"/>
        <v>0.49633848657445023</v>
      </c>
      <c r="W26" s="223">
        <f t="shared" si="23"/>
        <v>0.55056270747307312</v>
      </c>
      <c r="X26" s="223">
        <f t="shared" si="23"/>
        <v>0.34624365890974063</v>
      </c>
      <c r="Y26" s="223">
        <f t="shared" si="24"/>
        <v>2.9289038677579886</v>
      </c>
      <c r="Z26" s="223">
        <f t="shared" si="18"/>
        <v>2.22187573088017</v>
      </c>
      <c r="AA26" s="223">
        <f t="shared" si="19"/>
        <v>1.0295912141549683</v>
      </c>
      <c r="AB26" s="223">
        <f t="shared" si="20"/>
        <v>0.5963614403261055</v>
      </c>
      <c r="AC26" s="223">
        <f t="shared" si="25"/>
        <v>0.44274350892991404</v>
      </c>
      <c r="AD26" s="223">
        <f t="shared" si="20"/>
        <v>9.0997385132611193</v>
      </c>
      <c r="AE26" s="223">
        <f>(AE21-AD21)/AD21*100</f>
        <v>1.8283914264192205</v>
      </c>
      <c r="AF26" s="223">
        <f t="shared" si="21"/>
        <v>0.43712172158709195</v>
      </c>
      <c r="AG26" s="223">
        <f t="shared" si="27"/>
        <v>-1.794442584532981</v>
      </c>
    </row>
    <row r="27" spans="1:33" s="66" customFormat="1"/>
    <row r="29" spans="1:33">
      <c r="B29" s="43"/>
      <c r="C29" s="36" t="s">
        <v>113</v>
      </c>
      <c r="D29" s="226" t="s">
        <v>61</v>
      </c>
      <c r="E29" s="226" t="s">
        <v>62</v>
      </c>
      <c r="F29" s="36" t="s">
        <v>238</v>
      </c>
      <c r="G29" s="226" t="s">
        <v>239</v>
      </c>
      <c r="H29" s="226" t="s">
        <v>240</v>
      </c>
      <c r="I29" s="226" t="s">
        <v>26</v>
      </c>
      <c r="J29" s="226" t="s">
        <v>27</v>
      </c>
      <c r="K29" s="226" t="s">
        <v>28</v>
      </c>
      <c r="L29" s="36" t="s">
        <v>651</v>
      </c>
      <c r="M29" s="327" t="s">
        <v>30</v>
      </c>
      <c r="N29" s="327" t="s">
        <v>31</v>
      </c>
      <c r="O29" s="36" t="s">
        <v>655</v>
      </c>
      <c r="P29" s="327" t="s">
        <v>61</v>
      </c>
      <c r="Q29" s="327" t="s">
        <v>62</v>
      </c>
      <c r="R29" s="36" t="s">
        <v>238</v>
      </c>
      <c r="S29" s="327" t="s">
        <v>239</v>
      </c>
      <c r="T29" s="327" t="s">
        <v>240</v>
      </c>
    </row>
    <row r="30" spans="1:33">
      <c r="B30" s="69" t="s">
        <v>132</v>
      </c>
      <c r="C30" s="72">
        <f>P6</f>
        <v>135.31</v>
      </c>
      <c r="D30" s="72">
        <f t="shared" ref="D30:H30" si="28">Q6</f>
        <v>134.56</v>
      </c>
      <c r="E30" s="72">
        <f t="shared" si="28"/>
        <v>135</v>
      </c>
      <c r="F30" s="72">
        <f t="shared" si="28"/>
        <v>133.05000000000001</v>
      </c>
      <c r="G30" s="72">
        <f t="shared" si="28"/>
        <v>128.38999999999999</v>
      </c>
      <c r="H30" s="72">
        <f t="shared" si="28"/>
        <v>126.88</v>
      </c>
      <c r="I30" s="72">
        <v>127.86</v>
      </c>
      <c r="J30" s="72">
        <v>128.69</v>
      </c>
      <c r="K30" s="332">
        <v>129.37</v>
      </c>
      <c r="L30" s="332">
        <v>134.69999999999999</v>
      </c>
      <c r="M30" s="332">
        <v>139.41999999999999</v>
      </c>
      <c r="N30" s="332">
        <v>140.28</v>
      </c>
      <c r="O30" s="333">
        <v>145.86000000000001</v>
      </c>
      <c r="P30" s="333">
        <v>149.5</v>
      </c>
      <c r="Q30" s="333">
        <v>174.92</v>
      </c>
      <c r="R30" s="333">
        <v>188.02</v>
      </c>
      <c r="S30" s="333">
        <v>188.82</v>
      </c>
      <c r="T30" s="333">
        <v>188.9</v>
      </c>
    </row>
    <row r="31" spans="1:33">
      <c r="B31" s="69" t="s">
        <v>133</v>
      </c>
      <c r="C31" s="72">
        <f>P18</f>
        <v>145.08000000000001</v>
      </c>
      <c r="D31" s="72">
        <f t="shared" ref="D31:J31" si="29">Q18</f>
        <v>143.6</v>
      </c>
      <c r="E31" s="72">
        <f t="shared" si="29"/>
        <v>143.04</v>
      </c>
      <c r="F31" s="72">
        <f t="shared" si="29"/>
        <v>139.82</v>
      </c>
      <c r="G31" s="72">
        <f t="shared" si="29"/>
        <v>134.61000000000001</v>
      </c>
      <c r="H31" s="72">
        <f t="shared" si="29"/>
        <v>133.72999999999999</v>
      </c>
      <c r="I31" s="72">
        <f t="shared" si="29"/>
        <v>134.84</v>
      </c>
      <c r="J31" s="72">
        <f t="shared" si="29"/>
        <v>135.21</v>
      </c>
      <c r="K31" s="332">
        <v>135.56</v>
      </c>
      <c r="L31" s="332">
        <v>138.19</v>
      </c>
      <c r="M31" s="332">
        <v>141.47</v>
      </c>
      <c r="N31" s="332">
        <v>142.68</v>
      </c>
      <c r="O31" s="333">
        <v>143.74</v>
      </c>
      <c r="P31" s="333">
        <v>145.88</v>
      </c>
      <c r="Q31" s="333">
        <v>172.16</v>
      </c>
      <c r="R31" s="333">
        <v>168.49</v>
      </c>
      <c r="S31" s="333">
        <v>168.78</v>
      </c>
      <c r="T31" s="333">
        <v>161.34</v>
      </c>
    </row>
    <row r="37" spans="2:10">
      <c r="B37" s="415" t="s">
        <v>20</v>
      </c>
      <c r="C37" s="415"/>
      <c r="D37" s="415"/>
      <c r="E37" s="415" t="s">
        <v>120</v>
      </c>
      <c r="F37" s="415"/>
      <c r="G37" s="415"/>
      <c r="H37" s="415" t="s">
        <v>121</v>
      </c>
      <c r="I37" s="415"/>
      <c r="J37" s="415"/>
    </row>
    <row r="38" spans="2:10">
      <c r="B38" s="415"/>
      <c r="C38" s="415"/>
      <c r="D38" s="415"/>
      <c r="E38" s="251" t="s">
        <v>363</v>
      </c>
      <c r="F38" s="252" t="s">
        <v>364</v>
      </c>
      <c r="G38" s="252" t="s">
        <v>365</v>
      </c>
      <c r="H38" s="251" t="s">
        <v>363</v>
      </c>
      <c r="I38" s="252" t="s">
        <v>364</v>
      </c>
      <c r="J38" s="252" t="s">
        <v>365</v>
      </c>
    </row>
    <row r="39" spans="2:10">
      <c r="B39" s="414" t="s">
        <v>122</v>
      </c>
      <c r="C39" s="414"/>
      <c r="D39" s="414"/>
      <c r="E39" s="253">
        <f>V11</f>
        <v>0.77238335435057059</v>
      </c>
      <c r="F39" s="253">
        <f t="shared" ref="F39:G39" si="30">W11</f>
        <v>0.64914750508368391</v>
      </c>
      <c r="G39" s="253">
        <f t="shared" si="30"/>
        <v>0.52840158520476088</v>
      </c>
      <c r="H39" s="253">
        <f>V23</f>
        <v>0.83003065879010984</v>
      </c>
      <c r="I39" s="253">
        <f t="shared" ref="I39:J39" si="31">W23</f>
        <v>0.27439928804509384</v>
      </c>
      <c r="J39" s="253">
        <f t="shared" si="31"/>
        <v>0.258856593447226</v>
      </c>
    </row>
    <row r="40" spans="2:10">
      <c r="B40" s="414" t="s">
        <v>123</v>
      </c>
      <c r="C40" s="414"/>
      <c r="D40" s="414"/>
      <c r="E40" s="253">
        <f>V12</f>
        <v>4.2127778294429472</v>
      </c>
      <c r="F40" s="253">
        <f t="shared" ref="F40:G40" si="32">W12</f>
        <v>1.1065500624665312</v>
      </c>
      <c r="G40" s="253">
        <f t="shared" si="32"/>
        <v>0.36187113857016467</v>
      </c>
      <c r="H40" s="253">
        <f>V24</f>
        <v>-0.12841819005891184</v>
      </c>
      <c r="I40" s="253">
        <f t="shared" ref="I40:J40" si="33">W24</f>
        <v>2.208607518342022</v>
      </c>
      <c r="J40" s="253">
        <f t="shared" si="33"/>
        <v>0.53282024716939158</v>
      </c>
    </row>
    <row r="41" spans="2:10">
      <c r="B41" s="254"/>
      <c r="C41" s="414" t="s">
        <v>368</v>
      </c>
      <c r="D41" s="414"/>
      <c r="E41" s="253">
        <f>V13</f>
        <v>2.2893379191745433</v>
      </c>
      <c r="F41" s="253">
        <f t="shared" ref="F41:G41" si="34">W13</f>
        <v>-4.9700535883156496</v>
      </c>
      <c r="G41" s="253">
        <f t="shared" si="34"/>
        <v>-1.8133569217160557</v>
      </c>
      <c r="H41" s="253">
        <f>V25</f>
        <v>-1.4168634532573914</v>
      </c>
      <c r="I41" s="253">
        <f t="shared" ref="I41:J41" si="35">W25</f>
        <v>3.2055798224602028</v>
      </c>
      <c r="J41" s="253">
        <f t="shared" si="35"/>
        <v>1.3994129292101734</v>
      </c>
    </row>
    <row r="42" spans="2:10">
      <c r="B42" s="414" t="s">
        <v>124</v>
      </c>
      <c r="C42" s="414"/>
      <c r="D42" s="414"/>
      <c r="E42" s="253">
        <f>V14</f>
        <v>0.75596503661706282</v>
      </c>
      <c r="F42" s="253">
        <f t="shared" ref="F42:G42" si="36">W14</f>
        <v>0.63305978898006099</v>
      </c>
      <c r="G42" s="253">
        <f t="shared" si="36"/>
        <v>0.53588070829449963</v>
      </c>
      <c r="H42" s="253">
        <f>V26</f>
        <v>0.49633848657445023</v>
      </c>
      <c r="I42" s="253">
        <f t="shared" ref="I42:J42" si="37">W26</f>
        <v>0.55056270747307312</v>
      </c>
      <c r="J42" s="253">
        <f t="shared" si="37"/>
        <v>0.34624365890974063</v>
      </c>
    </row>
    <row r="43" spans="2:10">
      <c r="G43" t="s">
        <v>616</v>
      </c>
    </row>
  </sheetData>
  <mergeCells count="7">
    <mergeCell ref="C41:D41"/>
    <mergeCell ref="B42:D42"/>
    <mergeCell ref="B37:D38"/>
    <mergeCell ref="E37:G37"/>
    <mergeCell ref="H37:J37"/>
    <mergeCell ref="B39:D39"/>
    <mergeCell ref="B40:D4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E9:F13"/>
  <sheetViews>
    <sheetView workbookViewId="0">
      <selection activeCell="J29" sqref="J29"/>
    </sheetView>
  </sheetViews>
  <sheetFormatPr defaultRowHeight="16.5"/>
  <cols>
    <col min="5" max="5" width="30.5" bestFit="1" customWidth="1"/>
  </cols>
  <sheetData>
    <row r="9" spans="5:6">
      <c r="E9" t="s">
        <v>352</v>
      </c>
      <c r="F9" s="224">
        <v>-2.3E-2</v>
      </c>
    </row>
    <row r="10" spans="5:6">
      <c r="E10" s="150" t="s">
        <v>351</v>
      </c>
      <c r="F10" s="224">
        <v>0.01</v>
      </c>
    </row>
    <row r="11" spans="5:6">
      <c r="E11" s="150" t="s">
        <v>350</v>
      </c>
      <c r="F11" s="224">
        <v>0.04</v>
      </c>
    </row>
    <row r="12" spans="5:6">
      <c r="E12" s="150" t="s">
        <v>349</v>
      </c>
      <c r="F12" s="224">
        <v>0.28599999999999998</v>
      </c>
    </row>
    <row r="13" spans="5:6">
      <c r="E13" s="150" t="s">
        <v>348</v>
      </c>
      <c r="F13" s="224">
        <v>0.33800000000000002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SharedFile xmlns="http://schemas.microsoft.com/sharepoint/v3" xsi:nil="true"/>
    <xd_ProgID xmlns="http://schemas.microsoft.com/sharepoint/v3" xsi:nil="true"/>
    <AuthorDept xmlns="http://schemas.microsoft.com/sharepoint/v3" xsi:nil="true"/>
    <AuthorName xmlns="http://schemas.microsoft.com/sharepoint/v3" xsi:nil="true"/>
    <EditorDept xmlns="http://schemas.microsoft.com/sharepoint/v3" xsi:nil="true"/>
    <EditorName xmlns="http://schemas.microsoft.com/sharepoint/v3" xsi:nil="true"/>
    <TemplateUrl xmlns="http://schemas.microsoft.com/sharepoint/v3" xsi:nil="true"/>
    <DocuWriteStatus xmlns="d1e37818-bb1e-4e97-b573-4fbb568a6289">작성중</DocuWriteStatus>
    <LikeUsers xmlns="d1e37818-bb1e-4e97-b573-4fbb568a6289" xsi:nil="true"/>
    <LikeCount xmlns="d1e37818-bb1e-4e97-b573-4fbb568a6289" xsi:nil="true"/>
    <DocFileCommentCount xmlns="d1e37818-bb1e-4e97-b573-4fbb568a6289" xsi:nil="true"/>
    <LastCommentInfoByFeed xmlns="d1e37818-bb1e-4e97-b573-4fbb568a6289" xsi:nil="true"/>
    <LastModifiedByFeed xmlns="d1e37818-bb1e-4e97-b573-4fbb568a6289" xsi:nil="true"/>
    <LastCommentInfoByFeed0 xmlns="d1e37818-bb1e-4e97-b573-4fbb568a6289" xsi:nil="true"/>
    <LastModifiedByFeed0 xmlns="d1e37818-bb1e-4e97-b573-4fbb568a6289" xsi:nil="true"/>
    <LastModifiedByFeed1 xmlns="d1e37818-bb1e-4e97-b573-4fbb568a6289" xsi:nil="true"/>
    <LastCommentInfoByFeed1 xmlns="d1e37818-bb1e-4e97-b573-4fbb568a6289" xsi:nil="true"/>
    <LastModifiedByFeed22 xmlns="d1e37818-bb1e-4e97-b573-4fbb568a6289" xsi:nil="true"/>
    <LastCommentInfoByFeed23 xmlns="d1e37818-bb1e-4e97-b573-4fbb568a6289" xsi:nil="true"/>
    <LastModifiedByFeed27 xmlns="d1e37818-bb1e-4e97-b573-4fbb568a6289" xsi:nil="true"/>
    <LastModifiedByFeed28 xmlns="d1e37818-bb1e-4e97-b573-4fbb568a6289" xsi:nil="true"/>
    <LastCommentInfoByFeed37 xmlns="d1e37818-bb1e-4e97-b573-4fbb568a6289" xsi:nil="true"/>
    <LastCommentInfoByFeed22 xmlns="d1e37818-bb1e-4e97-b573-4fbb568a6289" xsi:nil="true"/>
    <LastModifiedByFeed32 xmlns="d1e37818-bb1e-4e97-b573-4fbb568a6289" xsi:nil="true"/>
    <LastCommentInfoByFeed36 xmlns="d1e37818-bb1e-4e97-b573-4fbb568a6289" xsi:nil="true"/>
    <LastModifiedByFeed37 xmlns="d1e37818-bb1e-4e97-b573-4fbb568a6289" xsi:nil="true"/>
    <LastModifiedByFeed38 xmlns="d1e37818-bb1e-4e97-b573-4fbb568a6289" xsi:nil="true"/>
    <LastCommentInfoByFeed21 xmlns="d1e37818-bb1e-4e97-b573-4fbb568a6289" xsi:nil="true"/>
    <LastCommentInfoByFeed35 xmlns="d1e37818-bb1e-4e97-b573-4fbb568a6289" xsi:nil="true"/>
    <LastModifiedByFeed43 xmlns="d1e37818-bb1e-4e97-b573-4fbb568a6289" xsi:nil="true"/>
    <LastModifiedByFeed12 xmlns="d1e37818-bb1e-4e97-b573-4fbb568a6289" xsi:nil="true"/>
    <LastModifiedByFeed17 xmlns="d1e37818-bb1e-4e97-b573-4fbb568a6289" xsi:nil="true"/>
    <LastModifiedByFeed18 xmlns="d1e37818-bb1e-4e97-b573-4fbb568a6289" xsi:nil="true"/>
    <LastCommentInfoByFeed20 xmlns="d1e37818-bb1e-4e97-b573-4fbb568a6289" xsi:nil="true"/>
    <LastCommentInfoByFeed34 xmlns="d1e37818-bb1e-4e97-b573-4fbb568a6289" xsi:nil="true"/>
    <LastModifiedByFeed2 xmlns="d1e37818-bb1e-4e97-b573-4fbb568a6289" xsi:nil="true"/>
    <LastModifiedByFeed26 xmlns="d1e37818-bb1e-4e97-b573-4fbb568a6289" xsi:nil="true"/>
    <LastCommentInfoByFeed33 xmlns="d1e37818-bb1e-4e97-b573-4fbb568a6289" xsi:nil="true"/>
    <LastModifiedByFeed3 xmlns="d1e37818-bb1e-4e97-b573-4fbb568a6289" xsi:nil="true"/>
    <LastCommentInfoByFeed32 xmlns="d1e37818-bb1e-4e97-b573-4fbb568a6289" xsi:nil="true"/>
    <LastModifiedByFeed36 xmlns="d1e37818-bb1e-4e97-b573-4fbb568a6289" xsi:nil="true"/>
    <LastCommentInfoByFeed19 xmlns="d1e37818-bb1e-4e97-b573-4fbb568a6289" xsi:nil="true"/>
    <LastCommentInfoByFeed31 xmlns="d1e37818-bb1e-4e97-b573-4fbb568a6289" xsi:nil="true"/>
    <LastModifiedByFeed42 xmlns="d1e37818-bb1e-4e97-b573-4fbb568a6289" xsi:nil="true"/>
    <LastCommentInfoByFeed4 xmlns="d1e37818-bb1e-4e97-b573-4fbb568a6289" xsi:nil="true"/>
    <LastModifiedByFeed16 xmlns="d1e37818-bb1e-4e97-b573-4fbb568a6289" xsi:nil="true"/>
    <LastCommentInfoByFeed18 xmlns="d1e37818-bb1e-4e97-b573-4fbb568a6289" xsi:nil="true"/>
    <LastCommentInfoByFeed30 xmlns="d1e37818-bb1e-4e97-b573-4fbb568a6289" xsi:nil="true"/>
    <LastModifiedByFeed6 xmlns="d1e37818-bb1e-4e97-b573-4fbb568a6289" xsi:nil="true"/>
    <LastModifiedByFeed21 xmlns="d1e37818-bb1e-4e97-b573-4fbb568a6289" xsi:nil="true"/>
    <LastModifiedByFeed7 xmlns="d1e37818-bb1e-4e97-b573-4fbb568a6289" xsi:nil="true"/>
    <LastModifiedByFeed31 xmlns="d1e37818-bb1e-4e97-b573-4fbb568a6289" xsi:nil="true"/>
    <LastModifiedByFeed4 xmlns="d1e37818-bb1e-4e97-b573-4fbb568a6289" xsi:nil="true"/>
    <LastCommentInfoByFeed29 xmlns="d1e37818-bb1e-4e97-b573-4fbb568a6289" xsi:nil="true"/>
    <LastCommentInfoByFeed2 xmlns="d1e37818-bb1e-4e97-b573-4fbb568a6289" xsi:nil="true"/>
    <LastModifiedByFeed5 xmlns="d1e37818-bb1e-4e97-b573-4fbb568a6289" xsi:nil="true"/>
    <LastCommentInfoByFeed5 xmlns="d1e37818-bb1e-4e97-b573-4fbb568a6289" xsi:nil="true"/>
    <LastCommentInfoByFeed8 xmlns="d1e37818-bb1e-4e97-b573-4fbb568a6289" xsi:nil="true"/>
    <LastModifiedByFeed11 xmlns="d1e37818-bb1e-4e97-b573-4fbb568a6289" xsi:nil="true"/>
    <LastCommentInfoByFeed28 xmlns="d1e37818-bb1e-4e97-b573-4fbb568a6289" xsi:nil="true"/>
    <LastCommentInfoByFeed17 xmlns="d1e37818-bb1e-4e97-b573-4fbb568a6289" xsi:nil="true"/>
    <LastModifiedByFeed20 xmlns="d1e37818-bb1e-4e97-b573-4fbb568a6289" xsi:nil="true"/>
    <LastModifiedByFeed25 xmlns="d1e37818-bb1e-4e97-b573-4fbb568a6289" xsi:nil="true"/>
    <LastCommentInfoByFeed16 xmlns="d1e37818-bb1e-4e97-b573-4fbb568a6289" xsi:nil="true"/>
    <LastModifiedByFeed30 xmlns="d1e37818-bb1e-4e97-b573-4fbb568a6289" xsi:nil="true"/>
    <LastModifiedByFeed35 xmlns="d1e37818-bb1e-4e97-b573-4fbb568a6289" xsi:nil="true"/>
    <LastCommentInfoByFeed15 xmlns="d1e37818-bb1e-4e97-b573-4fbb568a6289" xsi:nil="true"/>
    <LastCommentInfoByFeed39 xmlns="d1e37818-bb1e-4e97-b573-4fbb568a6289" xsi:nil="true"/>
    <LastModifiedByFeed41 xmlns="d1e37818-bb1e-4e97-b573-4fbb568a6289" xsi:nil="true"/>
    <LastCommentInfoByFeed3 xmlns="d1e37818-bb1e-4e97-b573-4fbb568a6289" xsi:nil="true"/>
    <LastCommentInfoByFeed6 xmlns="d1e37818-bb1e-4e97-b573-4fbb568a6289" xsi:nil="true"/>
    <LastCommentInfoByFeed9 xmlns="d1e37818-bb1e-4e97-b573-4fbb568a6289" xsi:nil="true"/>
    <LastModifiedByFeed10 xmlns="d1e37818-bb1e-4e97-b573-4fbb568a6289" xsi:nil="true"/>
    <LastCommentInfoByFeed14 xmlns="d1e37818-bb1e-4e97-b573-4fbb568a6289" xsi:nil="true"/>
    <LastModifiedByFeed15 xmlns="d1e37818-bb1e-4e97-b573-4fbb568a6289" xsi:nil="true"/>
    <LastCommentInfoByFeed38 xmlns="d1e37818-bb1e-4e97-b573-4fbb568a6289" xsi:nil="true"/>
    <LastCommentInfoByFeed13 xmlns="d1e37818-bb1e-4e97-b573-4fbb568a6289" xsi:nil="true"/>
    <LastModifiedByFeed23 xmlns="d1e37818-bb1e-4e97-b573-4fbb568a6289" xsi:nil="true"/>
    <LastModifiedByFeed24 xmlns="d1e37818-bb1e-4e97-b573-4fbb568a6289" xsi:nil="true"/>
    <LastCommentInfoByFeed27 xmlns="d1e37818-bb1e-4e97-b573-4fbb568a6289" xsi:nil="true"/>
    <LastModifiedByFeed29 xmlns="d1e37818-bb1e-4e97-b573-4fbb568a6289" xsi:nil="true"/>
    <LastCommentInfoByFeed43 xmlns="d1e37818-bb1e-4e97-b573-4fbb568a6289" xsi:nil="true"/>
    <LastCommentInfoByFeed12 xmlns="d1e37818-bb1e-4e97-b573-4fbb568a6289" xsi:nil="true"/>
    <LastCommentInfoByFeed26 xmlns="d1e37818-bb1e-4e97-b573-4fbb568a6289" xsi:nil="true"/>
    <LastModifiedByFeed33 xmlns="d1e37818-bb1e-4e97-b573-4fbb568a6289" xsi:nil="true"/>
    <LastModifiedByFeed34 xmlns="d1e37818-bb1e-4e97-b573-4fbb568a6289" xsi:nil="true"/>
    <LastModifiedByFeed39 xmlns="d1e37818-bb1e-4e97-b573-4fbb568a6289" xsi:nil="true"/>
    <LastCommentInfoByFeed42 xmlns="d1e37818-bb1e-4e97-b573-4fbb568a6289" xsi:nil="true"/>
    <LastModifiedByFeed8 xmlns="d1e37818-bb1e-4e97-b573-4fbb568a6289" xsi:nil="true"/>
    <LastCommentInfoByFeed11 xmlns="d1e37818-bb1e-4e97-b573-4fbb568a6289" xsi:nil="true"/>
    <LastCommentInfoByFeed25 xmlns="d1e37818-bb1e-4e97-b573-4fbb568a6289" xsi:nil="true"/>
    <LastModifiedByFeed40 xmlns="d1e37818-bb1e-4e97-b573-4fbb568a6289" xsi:nil="true"/>
    <LastCommentInfoByFeed41 xmlns="d1e37818-bb1e-4e97-b573-4fbb568a6289" xsi:nil="true"/>
    <LastCommentInfoByFeed7 xmlns="d1e37818-bb1e-4e97-b573-4fbb568a6289" xsi:nil="true"/>
    <LastModifiedByFeed9 xmlns="d1e37818-bb1e-4e97-b573-4fbb568a6289" xsi:nil="true"/>
    <LastCommentInfoByFeed10 xmlns="d1e37818-bb1e-4e97-b573-4fbb568a6289" xsi:nil="true"/>
    <LastModifiedByFeed13 xmlns="d1e37818-bb1e-4e97-b573-4fbb568a6289" xsi:nil="true"/>
    <LastModifiedByFeed14 xmlns="d1e37818-bb1e-4e97-b573-4fbb568a6289" xsi:nil="true"/>
    <LastModifiedByFeed19 xmlns="d1e37818-bb1e-4e97-b573-4fbb568a6289" xsi:nil="true"/>
    <LastCommentInfoByFeed24 xmlns="d1e37818-bb1e-4e97-b573-4fbb568a6289" xsi:nil="true"/>
    <LastCommentInfoByFeed40 xmlns="d1e37818-bb1e-4e97-b573-4fbb568a6289" xsi:nil="true"/>
    <LastModifiedByFeed44 xmlns="d1e37818-bb1e-4e97-b573-4fbb568a6289" xsi:nil="true"/>
    <LastCommentInfoByFeed45 xmlns="d1e37818-bb1e-4e97-b573-4fbb568a6289" xsi:nil="true"/>
    <LastCommentInfoByFeed44 xmlns="d1e37818-bb1e-4e97-b573-4fbb568a6289" xsi:nil="true"/>
    <LastModifiedByFeed45 xmlns="d1e37818-bb1e-4e97-b573-4fbb568a628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CMDocLibContentType" ma:contentTypeID="0x010100F232DC283A0D4D749B6A46903F588C0D00F8EDACF26610F54EB6424C578D823394" ma:contentTypeVersion="99" ma:contentTypeDescription="ECM 커스텀 문서라이브러리 컨텐츠 타입" ma:contentTypeScope="" ma:versionID="a4283da919acd9d41e9726f245bcb07e">
  <xsd:schema xmlns:xsd="http://www.w3.org/2001/XMLSchema" xmlns:xs="http://www.w3.org/2001/XMLSchema" xmlns:p="http://schemas.microsoft.com/office/2006/metadata/properties" xmlns:ns1="http://schemas.microsoft.com/sharepoint/v3" xmlns:ns2="d1e37818-bb1e-4e97-b573-4fbb568a6289" targetNamespace="http://schemas.microsoft.com/office/2006/metadata/properties" ma:root="true" ma:fieldsID="11b4ca0810beedc57d39cd82193a81ed" ns1:_="" ns2:_="">
    <xsd:import namespace="http://schemas.microsoft.com/sharepoint/v3"/>
    <xsd:import namespace="d1e37818-bb1e-4e97-b573-4fbb568a6289"/>
    <xsd:element name="properties">
      <xsd:complexType>
        <xsd:sequence>
          <xsd:element name="documentManagement">
            <xsd:complexType>
              <xsd:all>
                <xsd:element ref="ns1:TemplateUrl" minOccurs="0"/>
                <xsd:element ref="ns1:xd_ProgID" minOccurs="0"/>
                <xsd:element ref="ns1:xd_Signature" minOccurs="0"/>
                <xsd:element ref="ns1:AuthorName" minOccurs="0"/>
                <xsd:element ref="ns1:AuthorDept" minOccurs="0"/>
                <xsd:element ref="ns1:EditorName" minOccurs="0"/>
                <xsd:element ref="ns1:EditorDept" minOccurs="0"/>
                <xsd:element ref="ns1:DocSharedFile" minOccurs="0"/>
                <xsd:element ref="ns2:DocuWriteStatus" minOccurs="0"/>
                <xsd:element ref="ns2:LikeCount" minOccurs="0"/>
                <xsd:element ref="ns2:DocFileCommentCount" minOccurs="0"/>
                <xsd:element ref="ns2:LikeUsers" minOccurs="0"/>
                <xsd:element ref="ns2:LastModifiedByFeed" minOccurs="0"/>
                <xsd:element ref="ns2:LastCommentInfoByFeed" minOccurs="0"/>
                <xsd:element ref="ns2:LastModifiedByFeed0" minOccurs="0"/>
                <xsd:element ref="ns2:LastCommentInfoByFeed0" minOccurs="0"/>
                <xsd:element ref="ns2:LastModifiedByFeed1" minOccurs="0"/>
                <xsd:element ref="ns2:LastCommentInfoByFeed1" minOccurs="0"/>
                <xsd:element ref="ns2:LastModifiedByFeed2" minOccurs="0"/>
                <xsd:element ref="ns2:LastCommentInfoByFeed2" minOccurs="0"/>
                <xsd:element ref="ns2:LastModifiedByFeed3" minOccurs="0"/>
                <xsd:element ref="ns2:LastCommentInfoByFeed3" minOccurs="0"/>
                <xsd:element ref="ns2:LastModifiedByFeed4" minOccurs="0"/>
                <xsd:element ref="ns2:LastCommentInfoByFeed4" minOccurs="0"/>
                <xsd:element ref="ns2:LastModifiedByFeed5" minOccurs="0"/>
                <xsd:element ref="ns2:LastCommentInfoByFeed5" minOccurs="0"/>
                <xsd:element ref="ns2:LastModifiedByFeed6" minOccurs="0"/>
                <xsd:element ref="ns2:LastCommentInfoByFeed6" minOccurs="0"/>
                <xsd:element ref="ns2:LastModifiedByFeed7" minOccurs="0"/>
                <xsd:element ref="ns2:LastCommentInfoByFeed7" minOccurs="0"/>
                <xsd:element ref="ns2:LastModifiedByFeed8" minOccurs="0"/>
                <xsd:element ref="ns2:LastCommentInfoByFeed8" minOccurs="0"/>
                <xsd:element ref="ns2:LastModifiedByFeed9" minOccurs="0"/>
                <xsd:element ref="ns2:LastCommentInfoByFeed9" minOccurs="0"/>
                <xsd:element ref="ns2:LastModifiedByFeed10" minOccurs="0"/>
                <xsd:element ref="ns2:LastCommentInfoByFeed10" minOccurs="0"/>
                <xsd:element ref="ns2:LastModifiedByFeed11" minOccurs="0"/>
                <xsd:element ref="ns2:LastCommentInfoByFeed11" minOccurs="0"/>
                <xsd:element ref="ns2:LastModifiedByFeed12" minOccurs="0"/>
                <xsd:element ref="ns2:LastCommentInfoByFeed12" minOccurs="0"/>
                <xsd:element ref="ns2:LastModifiedByFeed13" minOccurs="0"/>
                <xsd:element ref="ns2:LastCommentInfoByFeed13" minOccurs="0"/>
                <xsd:element ref="ns2:LastModifiedByFeed14" minOccurs="0"/>
                <xsd:element ref="ns2:LastCommentInfoByFeed14" minOccurs="0"/>
                <xsd:element ref="ns2:LastModifiedByFeed15" minOccurs="0"/>
                <xsd:element ref="ns2:LastCommentInfoByFeed15" minOccurs="0"/>
                <xsd:element ref="ns2:LastModifiedByFeed16" minOccurs="0"/>
                <xsd:element ref="ns2:LastCommentInfoByFeed16" minOccurs="0"/>
                <xsd:element ref="ns2:LastModifiedByFeed17" minOccurs="0"/>
                <xsd:element ref="ns2:LastCommentInfoByFeed17" minOccurs="0"/>
                <xsd:element ref="ns2:LastModifiedByFeed18" minOccurs="0"/>
                <xsd:element ref="ns2:LastCommentInfoByFeed18" minOccurs="0"/>
                <xsd:element ref="ns2:LastModifiedByFeed19" minOccurs="0"/>
                <xsd:element ref="ns2:LastCommentInfoByFeed19" minOccurs="0"/>
                <xsd:element ref="ns2:LastModifiedByFeed20" minOccurs="0"/>
                <xsd:element ref="ns2:LastCommentInfoByFeed20" minOccurs="0"/>
                <xsd:element ref="ns2:LastModifiedByFeed21" minOccurs="0"/>
                <xsd:element ref="ns2:LastCommentInfoByFeed21" minOccurs="0"/>
                <xsd:element ref="ns2:LastModifiedByFeed22" minOccurs="0"/>
                <xsd:element ref="ns2:LastCommentInfoByFeed22" minOccurs="0"/>
                <xsd:element ref="ns2:LastModifiedByFeed23" minOccurs="0"/>
                <xsd:element ref="ns2:LastCommentInfoByFeed23" minOccurs="0"/>
                <xsd:element ref="ns2:LastModifiedByFeed24" minOccurs="0"/>
                <xsd:element ref="ns2:LastCommentInfoByFeed24" minOccurs="0"/>
                <xsd:element ref="ns2:LastModifiedByFeed25" minOccurs="0"/>
                <xsd:element ref="ns2:LastCommentInfoByFeed25" minOccurs="0"/>
                <xsd:element ref="ns2:LastModifiedByFeed26" minOccurs="0"/>
                <xsd:element ref="ns2:LastCommentInfoByFeed26" minOccurs="0"/>
                <xsd:element ref="ns2:LastModifiedByFeed27" minOccurs="0"/>
                <xsd:element ref="ns2:LastCommentInfoByFeed27" minOccurs="0"/>
                <xsd:element ref="ns2:LastModifiedByFeed28" minOccurs="0"/>
                <xsd:element ref="ns2:LastCommentInfoByFeed28" minOccurs="0"/>
                <xsd:element ref="ns2:LastModifiedByFeed29" minOccurs="0"/>
                <xsd:element ref="ns2:LastCommentInfoByFeed29" minOccurs="0"/>
                <xsd:element ref="ns2:LastModifiedByFeed30" minOccurs="0"/>
                <xsd:element ref="ns2:LastCommentInfoByFeed30" minOccurs="0"/>
                <xsd:element ref="ns2:LastModifiedByFeed31" minOccurs="0"/>
                <xsd:element ref="ns2:LastCommentInfoByFeed31" minOccurs="0"/>
                <xsd:element ref="ns2:LastModifiedByFeed32" minOccurs="0"/>
                <xsd:element ref="ns2:LastCommentInfoByFeed32" minOccurs="0"/>
                <xsd:element ref="ns2:LastModifiedByFeed33" minOccurs="0"/>
                <xsd:element ref="ns2:LastCommentInfoByFeed33" minOccurs="0"/>
                <xsd:element ref="ns2:LastModifiedByFeed34" minOccurs="0"/>
                <xsd:element ref="ns2:LastCommentInfoByFeed34" minOccurs="0"/>
                <xsd:element ref="ns2:LastModifiedByFeed35" minOccurs="0"/>
                <xsd:element ref="ns2:LastCommentInfoByFeed35" minOccurs="0"/>
                <xsd:element ref="ns2:LastModifiedByFeed36" minOccurs="0"/>
                <xsd:element ref="ns2:LastCommentInfoByFeed36" minOccurs="0"/>
                <xsd:element ref="ns2:LastModifiedByFeed37" minOccurs="0"/>
                <xsd:element ref="ns2:LastCommentInfoByFeed37" minOccurs="0"/>
                <xsd:element ref="ns2:LastModifiedByFeed38" minOccurs="0"/>
                <xsd:element ref="ns2:LastCommentInfoByFeed38" minOccurs="0"/>
                <xsd:element ref="ns2:LastModifiedByFeed39" minOccurs="0"/>
                <xsd:element ref="ns2:LastCommentInfoByFeed39" minOccurs="0"/>
                <xsd:element ref="ns2:LastModifiedByFeed40" minOccurs="0"/>
                <xsd:element ref="ns2:LastCommentInfoByFeed40" minOccurs="0"/>
                <xsd:element ref="ns2:LastModifiedByFeed41" minOccurs="0"/>
                <xsd:element ref="ns2:LastCommentInfoByFeed41" minOccurs="0"/>
                <xsd:element ref="ns2:LastModifiedByFeed42" minOccurs="0"/>
                <xsd:element ref="ns2:LastCommentInfoByFeed42" minOccurs="0"/>
                <xsd:element ref="ns2:LastModifiedByFeed43" minOccurs="0"/>
                <xsd:element ref="ns2:LastCommentInfoByFeed43" minOccurs="0"/>
                <xsd:element ref="ns2:LastModifiedByFeed44" minOccurs="0"/>
                <xsd:element ref="ns2:LastCommentInfoByFeed44" minOccurs="0"/>
                <xsd:element ref="ns2:LastModifiedByFeed45" minOccurs="0"/>
                <xsd:element ref="ns2:LastCommentInfoByFeed45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TemplateUrl" ma:index="5" nillable="true" ma:displayName="서식 파일 링크" ma:hidden="true" ma:internalName="TemplateUrl">
      <xsd:simpleType>
        <xsd:restriction base="dms:Text"/>
      </xsd:simpleType>
    </xsd:element>
    <xsd:element name="xd_ProgID" ma:index="6" nillable="true" ma:displayName="HTML 파일 링크" ma:hidden="true" ma:internalName="xd_ProgID">
      <xsd:simpleType>
        <xsd:restriction base="dms:Text"/>
      </xsd:simpleType>
    </xsd:element>
    <xsd:element name="xd_Signature" ma:index="7" nillable="true" ma:displayName="서명됨" ma:hidden="true" ma:internalName="xd_Signature" ma:readOnly="true">
      <xsd:simpleType>
        <xsd:restriction base="dms:Boolean"/>
      </xsd:simpleType>
    </xsd:element>
    <xsd:element name="AuthorName" ma:index="10" nillable="true" ma:displayName="작성자" ma:description="작성자 이름 필드" ma:internalName="AuthorName">
      <xsd:simpleType>
        <xsd:restriction base="dms:Text"/>
      </xsd:simpleType>
    </xsd:element>
    <xsd:element name="AuthorDept" ma:index="11" nillable="true" ma:displayName="작성자 부서" ma:description="작성자 부서 필드" ma:internalName="AuthorDept">
      <xsd:simpleType>
        <xsd:restriction base="dms:Text"/>
      </xsd:simpleType>
    </xsd:element>
    <xsd:element name="EditorName" ma:index="12" nillable="true" ma:displayName="수정자" ma:description="수정자 이름 필드" ma:hidden="true" ma:internalName="EditorName">
      <xsd:simpleType>
        <xsd:restriction base="dms:Text"/>
      </xsd:simpleType>
    </xsd:element>
    <xsd:element name="EditorDept" ma:index="13" nillable="true" ma:displayName="수정자 부서" ma:description="수정자 부서 필드" ma:internalName="EditorDept">
      <xsd:simpleType>
        <xsd:restriction base="dms:Text"/>
      </xsd:simpleType>
    </xsd:element>
    <xsd:element name="DocSharedFile" ma:index="14" nillable="true" ma:displayName="공유" ma:description="문서 공유 여부 필드" ma:internalName="DocSharedFil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37818-bb1e-4e97-b573-4fbb568a6289" elementFormDefault="qualified">
    <xsd:import namespace="http://schemas.microsoft.com/office/2006/documentManagement/types"/>
    <xsd:import namespace="http://schemas.microsoft.com/office/infopath/2007/PartnerControls"/>
    <xsd:element name="DocuWriteStatus" ma:index="15" nillable="true" ma:displayName="작성 상태" ma:default="작성중" ma:internalName="DocuWriteStatus">
      <xsd:simpleType>
        <xsd:restriction base="dms:Choice">
          <xsd:enumeration value="작성중"/>
          <xsd:enumeration value="작성완료"/>
          <xsd:enumeration value="확인완료"/>
        </xsd:restriction>
      </xsd:simpleType>
    </xsd:element>
    <xsd:element name="LikeCount" ma:index="16" nillable="true" ma:displayName="LikeCount" ma:internalName="LikeCount">
      <xsd:simpleType>
        <xsd:restriction base="dms:Unknown"/>
      </xsd:simpleType>
    </xsd:element>
    <xsd:element name="DocFileCommentCount" ma:index="17" nillable="true" ma:displayName="DocFileCommentCount" ma:internalName="DocFileCommentCount">
      <xsd:simpleType>
        <xsd:restriction base="dms:Unknown"/>
      </xsd:simpleType>
    </xsd:element>
    <xsd:element name="LikeUsers" ma:index="18" nillable="true" ma:displayName="LikeUsers" ma:internalName="LikeUsers">
      <xsd:simpleType>
        <xsd:restriction base="dms:Note">
          <xsd:maxLength value="255"/>
        </xsd:restriction>
      </xsd:simpleType>
    </xsd:element>
    <xsd:element name="LastModifiedByFeed" ma:index="19" nillable="true" ma:displayName="LastModifiedByFeed" ma:internalName="LastModifiedByFeed">
      <xsd:simpleType>
        <xsd:restriction base="dms:DateTime"/>
      </xsd:simpleType>
    </xsd:element>
    <xsd:element name="LastCommentInfoByFeed" ma:index="20" nillable="true" ma:displayName="LastCommentInfoByFeed" ma:internalName="LastCommentInfoByFeed">
      <xsd:simpleType>
        <xsd:restriction base="dms:Note">
          <xsd:maxLength value="255"/>
        </xsd:restriction>
      </xsd:simpleType>
    </xsd:element>
    <xsd:element name="LastModifiedByFeed0" ma:index="21" nillable="true" ma:displayName="LastModifiedByFeed" ma:internalName="LastModifiedByFeed0">
      <xsd:simpleType>
        <xsd:restriction base="dms:DateTime"/>
      </xsd:simpleType>
    </xsd:element>
    <xsd:element name="LastCommentInfoByFeed0" ma:index="22" nillable="true" ma:displayName="LastCommentInfoByFeed" ma:internalName="LastCommentInfoByFeed0">
      <xsd:simpleType>
        <xsd:restriction base="dms:Note">
          <xsd:maxLength value="255"/>
        </xsd:restriction>
      </xsd:simpleType>
    </xsd:element>
    <xsd:element name="LastModifiedByFeed1" ma:index="23" nillable="true" ma:displayName="LastModifiedByFeed" ma:internalName="LastModifiedByFeed1">
      <xsd:simpleType>
        <xsd:restriction base="dms:DateTime"/>
      </xsd:simpleType>
    </xsd:element>
    <xsd:element name="LastCommentInfoByFeed1" ma:index="24" nillable="true" ma:displayName="LastCommentInfoByFeed" ma:internalName="LastCommentInfoByFeed1">
      <xsd:simpleType>
        <xsd:restriction base="dms:Note">
          <xsd:maxLength value="255"/>
        </xsd:restriction>
      </xsd:simpleType>
    </xsd:element>
    <xsd:element name="LastModifiedByFeed2" ma:index="25" nillable="true" ma:displayName="LastModifiedByFeed" ma:internalName="LastModifiedByFeed2">
      <xsd:simpleType>
        <xsd:restriction base="dms:DateTime"/>
      </xsd:simpleType>
    </xsd:element>
    <xsd:element name="LastCommentInfoByFeed2" ma:index="26" nillable="true" ma:displayName="LastCommentInfoByFeed" ma:internalName="LastCommentInfoByFeed2">
      <xsd:simpleType>
        <xsd:restriction base="dms:Note">
          <xsd:maxLength value="255"/>
        </xsd:restriction>
      </xsd:simpleType>
    </xsd:element>
    <xsd:element name="LastModifiedByFeed3" ma:index="27" nillable="true" ma:displayName="LastModifiedByFeed" ma:internalName="LastModifiedByFeed3">
      <xsd:simpleType>
        <xsd:restriction base="dms:DateTime"/>
      </xsd:simpleType>
    </xsd:element>
    <xsd:element name="LastCommentInfoByFeed3" ma:index="28" nillable="true" ma:displayName="LastCommentInfoByFeed" ma:internalName="LastCommentInfoByFeed3">
      <xsd:simpleType>
        <xsd:restriction base="dms:Note">
          <xsd:maxLength value="255"/>
        </xsd:restriction>
      </xsd:simpleType>
    </xsd:element>
    <xsd:element name="LastModifiedByFeed4" ma:index="29" nillable="true" ma:displayName="LastModifiedByFeed" ma:internalName="LastModifiedByFeed4">
      <xsd:simpleType>
        <xsd:restriction base="dms:DateTime"/>
      </xsd:simpleType>
    </xsd:element>
    <xsd:element name="LastCommentInfoByFeed4" ma:index="30" nillable="true" ma:displayName="LastCommentInfoByFeed" ma:internalName="LastCommentInfoByFeed4">
      <xsd:simpleType>
        <xsd:restriction base="dms:Note">
          <xsd:maxLength value="255"/>
        </xsd:restriction>
      </xsd:simpleType>
    </xsd:element>
    <xsd:element name="LastModifiedByFeed5" ma:index="31" nillable="true" ma:displayName="LastModifiedByFeed" ma:internalName="LastModifiedByFeed5">
      <xsd:simpleType>
        <xsd:restriction base="dms:DateTime"/>
      </xsd:simpleType>
    </xsd:element>
    <xsd:element name="LastCommentInfoByFeed5" ma:index="32" nillable="true" ma:displayName="LastCommentInfoByFeed" ma:internalName="LastCommentInfoByFeed5">
      <xsd:simpleType>
        <xsd:restriction base="dms:Note">
          <xsd:maxLength value="255"/>
        </xsd:restriction>
      </xsd:simpleType>
    </xsd:element>
    <xsd:element name="LastModifiedByFeed6" ma:index="33" nillable="true" ma:displayName="LastModifiedByFeed" ma:internalName="LastModifiedByFeed6">
      <xsd:simpleType>
        <xsd:restriction base="dms:DateTime"/>
      </xsd:simpleType>
    </xsd:element>
    <xsd:element name="LastCommentInfoByFeed6" ma:index="34" nillable="true" ma:displayName="LastCommentInfoByFeed" ma:internalName="LastCommentInfoByFeed6">
      <xsd:simpleType>
        <xsd:restriction base="dms:Note">
          <xsd:maxLength value="255"/>
        </xsd:restriction>
      </xsd:simpleType>
    </xsd:element>
    <xsd:element name="LastModifiedByFeed7" ma:index="35" nillable="true" ma:displayName="LastModifiedByFeed" ma:internalName="LastModifiedByFeed7">
      <xsd:simpleType>
        <xsd:restriction base="dms:DateTime"/>
      </xsd:simpleType>
    </xsd:element>
    <xsd:element name="LastCommentInfoByFeed7" ma:index="36" nillable="true" ma:displayName="LastCommentInfoByFeed" ma:internalName="LastCommentInfoByFeed7">
      <xsd:simpleType>
        <xsd:restriction base="dms:Note">
          <xsd:maxLength value="255"/>
        </xsd:restriction>
      </xsd:simpleType>
    </xsd:element>
    <xsd:element name="LastModifiedByFeed8" ma:index="37" nillable="true" ma:displayName="LastModifiedByFeed" ma:internalName="LastModifiedByFeed8">
      <xsd:simpleType>
        <xsd:restriction base="dms:DateTime"/>
      </xsd:simpleType>
    </xsd:element>
    <xsd:element name="LastCommentInfoByFeed8" ma:index="38" nillable="true" ma:displayName="LastCommentInfoByFeed" ma:internalName="LastCommentInfoByFeed8">
      <xsd:simpleType>
        <xsd:restriction base="dms:Note">
          <xsd:maxLength value="255"/>
        </xsd:restriction>
      </xsd:simpleType>
    </xsd:element>
    <xsd:element name="LastModifiedByFeed9" ma:index="39" nillable="true" ma:displayName="LastModifiedByFeed" ma:internalName="LastModifiedByFeed9">
      <xsd:simpleType>
        <xsd:restriction base="dms:DateTime"/>
      </xsd:simpleType>
    </xsd:element>
    <xsd:element name="LastCommentInfoByFeed9" ma:index="40" nillable="true" ma:displayName="LastCommentInfoByFeed" ma:internalName="LastCommentInfoByFeed9">
      <xsd:simpleType>
        <xsd:restriction base="dms:Note">
          <xsd:maxLength value="255"/>
        </xsd:restriction>
      </xsd:simpleType>
    </xsd:element>
    <xsd:element name="LastModifiedByFeed10" ma:index="41" nillable="true" ma:displayName="LastModifiedByFeed" ma:internalName="LastModifiedByFeed10">
      <xsd:simpleType>
        <xsd:restriction base="dms:DateTime"/>
      </xsd:simpleType>
    </xsd:element>
    <xsd:element name="LastCommentInfoByFeed10" ma:index="42" nillable="true" ma:displayName="LastCommentInfoByFeed" ma:internalName="LastCommentInfoByFeed10">
      <xsd:simpleType>
        <xsd:restriction base="dms:Note">
          <xsd:maxLength value="255"/>
        </xsd:restriction>
      </xsd:simpleType>
    </xsd:element>
    <xsd:element name="LastModifiedByFeed11" ma:index="43" nillable="true" ma:displayName="LastModifiedByFeed" ma:internalName="LastModifiedByFeed11">
      <xsd:simpleType>
        <xsd:restriction base="dms:DateTime"/>
      </xsd:simpleType>
    </xsd:element>
    <xsd:element name="LastCommentInfoByFeed11" ma:index="44" nillable="true" ma:displayName="LastCommentInfoByFeed" ma:internalName="LastCommentInfoByFeed11">
      <xsd:simpleType>
        <xsd:restriction base="dms:Note">
          <xsd:maxLength value="255"/>
        </xsd:restriction>
      </xsd:simpleType>
    </xsd:element>
    <xsd:element name="LastModifiedByFeed12" ma:index="45" nillable="true" ma:displayName="LastModifiedByFeed" ma:internalName="LastModifiedByFeed12">
      <xsd:simpleType>
        <xsd:restriction base="dms:DateTime"/>
      </xsd:simpleType>
    </xsd:element>
    <xsd:element name="LastCommentInfoByFeed12" ma:index="46" nillable="true" ma:displayName="LastCommentInfoByFeed" ma:internalName="LastCommentInfoByFeed12">
      <xsd:simpleType>
        <xsd:restriction base="dms:Note">
          <xsd:maxLength value="255"/>
        </xsd:restriction>
      </xsd:simpleType>
    </xsd:element>
    <xsd:element name="LastModifiedByFeed13" ma:index="47" nillable="true" ma:displayName="LastModifiedByFeed" ma:internalName="LastModifiedByFeed13">
      <xsd:simpleType>
        <xsd:restriction base="dms:DateTime"/>
      </xsd:simpleType>
    </xsd:element>
    <xsd:element name="LastCommentInfoByFeed13" ma:index="48" nillable="true" ma:displayName="LastCommentInfoByFeed" ma:internalName="LastCommentInfoByFeed13">
      <xsd:simpleType>
        <xsd:restriction base="dms:Note">
          <xsd:maxLength value="255"/>
        </xsd:restriction>
      </xsd:simpleType>
    </xsd:element>
    <xsd:element name="LastModifiedByFeed14" ma:index="49" nillable="true" ma:displayName="LastModifiedByFeed" ma:internalName="LastModifiedByFeed14">
      <xsd:simpleType>
        <xsd:restriction base="dms:DateTime"/>
      </xsd:simpleType>
    </xsd:element>
    <xsd:element name="LastCommentInfoByFeed14" ma:index="50" nillable="true" ma:displayName="LastCommentInfoByFeed" ma:internalName="LastCommentInfoByFeed14">
      <xsd:simpleType>
        <xsd:restriction base="dms:Note">
          <xsd:maxLength value="255"/>
        </xsd:restriction>
      </xsd:simpleType>
    </xsd:element>
    <xsd:element name="LastModifiedByFeed15" ma:index="51" nillable="true" ma:displayName="LastModifiedByFeed" ma:internalName="LastModifiedByFeed15">
      <xsd:simpleType>
        <xsd:restriction base="dms:DateTime"/>
      </xsd:simpleType>
    </xsd:element>
    <xsd:element name="LastCommentInfoByFeed15" ma:index="52" nillable="true" ma:displayName="LastCommentInfoByFeed" ma:internalName="LastCommentInfoByFeed15">
      <xsd:simpleType>
        <xsd:restriction base="dms:Note">
          <xsd:maxLength value="255"/>
        </xsd:restriction>
      </xsd:simpleType>
    </xsd:element>
    <xsd:element name="LastModifiedByFeed16" ma:index="53" nillable="true" ma:displayName="LastModifiedByFeed" ma:internalName="LastModifiedByFeed16">
      <xsd:simpleType>
        <xsd:restriction base="dms:DateTime"/>
      </xsd:simpleType>
    </xsd:element>
    <xsd:element name="LastCommentInfoByFeed16" ma:index="54" nillable="true" ma:displayName="LastCommentInfoByFeed" ma:internalName="LastCommentInfoByFeed16">
      <xsd:simpleType>
        <xsd:restriction base="dms:Note">
          <xsd:maxLength value="255"/>
        </xsd:restriction>
      </xsd:simpleType>
    </xsd:element>
    <xsd:element name="LastModifiedByFeed17" ma:index="55" nillable="true" ma:displayName="LastModifiedByFeed" ma:internalName="LastModifiedByFeed17">
      <xsd:simpleType>
        <xsd:restriction base="dms:DateTime"/>
      </xsd:simpleType>
    </xsd:element>
    <xsd:element name="LastCommentInfoByFeed17" ma:index="56" nillable="true" ma:displayName="LastCommentInfoByFeed" ma:internalName="LastCommentInfoByFeed17">
      <xsd:simpleType>
        <xsd:restriction base="dms:Note">
          <xsd:maxLength value="255"/>
        </xsd:restriction>
      </xsd:simpleType>
    </xsd:element>
    <xsd:element name="LastModifiedByFeed18" ma:index="57" nillable="true" ma:displayName="LastModifiedByFeed" ma:internalName="LastModifiedByFeed18">
      <xsd:simpleType>
        <xsd:restriction base="dms:DateTime"/>
      </xsd:simpleType>
    </xsd:element>
    <xsd:element name="LastCommentInfoByFeed18" ma:index="58" nillable="true" ma:displayName="LastCommentInfoByFeed" ma:internalName="LastCommentInfoByFeed18">
      <xsd:simpleType>
        <xsd:restriction base="dms:Note">
          <xsd:maxLength value="255"/>
        </xsd:restriction>
      </xsd:simpleType>
    </xsd:element>
    <xsd:element name="LastModifiedByFeed19" ma:index="59" nillable="true" ma:displayName="LastModifiedByFeed" ma:internalName="LastModifiedByFeed19">
      <xsd:simpleType>
        <xsd:restriction base="dms:DateTime"/>
      </xsd:simpleType>
    </xsd:element>
    <xsd:element name="LastCommentInfoByFeed19" ma:index="60" nillable="true" ma:displayName="LastCommentInfoByFeed" ma:internalName="LastCommentInfoByFeed19">
      <xsd:simpleType>
        <xsd:restriction base="dms:Note">
          <xsd:maxLength value="255"/>
        </xsd:restriction>
      </xsd:simpleType>
    </xsd:element>
    <xsd:element name="LastModifiedByFeed20" ma:index="61" nillable="true" ma:displayName="LastModifiedByFeed" ma:internalName="LastModifiedByFeed20">
      <xsd:simpleType>
        <xsd:restriction base="dms:DateTime"/>
      </xsd:simpleType>
    </xsd:element>
    <xsd:element name="LastCommentInfoByFeed20" ma:index="62" nillable="true" ma:displayName="LastCommentInfoByFeed" ma:internalName="LastCommentInfoByFeed20">
      <xsd:simpleType>
        <xsd:restriction base="dms:Note">
          <xsd:maxLength value="255"/>
        </xsd:restriction>
      </xsd:simpleType>
    </xsd:element>
    <xsd:element name="LastModifiedByFeed21" ma:index="63" nillable="true" ma:displayName="LastModifiedByFeed" ma:internalName="LastModifiedByFeed21">
      <xsd:simpleType>
        <xsd:restriction base="dms:DateTime"/>
      </xsd:simpleType>
    </xsd:element>
    <xsd:element name="LastCommentInfoByFeed21" ma:index="64" nillable="true" ma:displayName="LastCommentInfoByFeed" ma:internalName="LastCommentInfoByFeed21">
      <xsd:simpleType>
        <xsd:restriction base="dms:Note">
          <xsd:maxLength value="255"/>
        </xsd:restriction>
      </xsd:simpleType>
    </xsd:element>
    <xsd:element name="LastModifiedByFeed22" ma:index="65" nillable="true" ma:displayName="LastModifiedByFeed" ma:internalName="LastModifiedByFeed22">
      <xsd:simpleType>
        <xsd:restriction base="dms:DateTime"/>
      </xsd:simpleType>
    </xsd:element>
    <xsd:element name="LastCommentInfoByFeed22" ma:index="66" nillable="true" ma:displayName="LastCommentInfoByFeed" ma:internalName="LastCommentInfoByFeed22">
      <xsd:simpleType>
        <xsd:restriction base="dms:Note">
          <xsd:maxLength value="255"/>
        </xsd:restriction>
      </xsd:simpleType>
    </xsd:element>
    <xsd:element name="LastModifiedByFeed23" ma:index="67" nillable="true" ma:displayName="LastModifiedByFeed" ma:internalName="LastModifiedByFeed23">
      <xsd:simpleType>
        <xsd:restriction base="dms:DateTime"/>
      </xsd:simpleType>
    </xsd:element>
    <xsd:element name="LastCommentInfoByFeed23" ma:index="68" nillable="true" ma:displayName="LastCommentInfoByFeed" ma:internalName="LastCommentInfoByFeed23">
      <xsd:simpleType>
        <xsd:restriction base="dms:Note">
          <xsd:maxLength value="255"/>
        </xsd:restriction>
      </xsd:simpleType>
    </xsd:element>
    <xsd:element name="LastModifiedByFeed24" ma:index="69" nillable="true" ma:displayName="LastModifiedByFeed" ma:internalName="LastModifiedByFeed24">
      <xsd:simpleType>
        <xsd:restriction base="dms:DateTime"/>
      </xsd:simpleType>
    </xsd:element>
    <xsd:element name="LastCommentInfoByFeed24" ma:index="70" nillable="true" ma:displayName="LastCommentInfoByFeed" ma:internalName="LastCommentInfoByFeed24">
      <xsd:simpleType>
        <xsd:restriction base="dms:Note">
          <xsd:maxLength value="255"/>
        </xsd:restriction>
      </xsd:simpleType>
    </xsd:element>
    <xsd:element name="LastModifiedByFeed25" ma:index="71" nillable="true" ma:displayName="LastModifiedByFeed" ma:internalName="LastModifiedByFeed25">
      <xsd:simpleType>
        <xsd:restriction base="dms:DateTime"/>
      </xsd:simpleType>
    </xsd:element>
    <xsd:element name="LastCommentInfoByFeed25" ma:index="72" nillable="true" ma:displayName="LastCommentInfoByFeed" ma:internalName="LastCommentInfoByFeed25">
      <xsd:simpleType>
        <xsd:restriction base="dms:Note">
          <xsd:maxLength value="255"/>
        </xsd:restriction>
      </xsd:simpleType>
    </xsd:element>
    <xsd:element name="LastModifiedByFeed26" ma:index="73" nillable="true" ma:displayName="LastModifiedByFeed" ma:internalName="LastModifiedByFeed26">
      <xsd:simpleType>
        <xsd:restriction base="dms:DateTime"/>
      </xsd:simpleType>
    </xsd:element>
    <xsd:element name="LastCommentInfoByFeed26" ma:index="74" nillable="true" ma:displayName="LastCommentInfoByFeed" ma:internalName="LastCommentInfoByFeed26">
      <xsd:simpleType>
        <xsd:restriction base="dms:Note">
          <xsd:maxLength value="255"/>
        </xsd:restriction>
      </xsd:simpleType>
    </xsd:element>
    <xsd:element name="LastModifiedByFeed27" ma:index="75" nillable="true" ma:displayName="LastModifiedByFeed" ma:internalName="LastModifiedByFeed27">
      <xsd:simpleType>
        <xsd:restriction base="dms:DateTime"/>
      </xsd:simpleType>
    </xsd:element>
    <xsd:element name="LastCommentInfoByFeed27" ma:index="76" nillable="true" ma:displayName="LastCommentInfoByFeed" ma:internalName="LastCommentInfoByFeed27">
      <xsd:simpleType>
        <xsd:restriction base="dms:Note">
          <xsd:maxLength value="255"/>
        </xsd:restriction>
      </xsd:simpleType>
    </xsd:element>
    <xsd:element name="LastModifiedByFeed28" ma:index="77" nillable="true" ma:displayName="LastModifiedByFeed" ma:internalName="LastModifiedByFeed28">
      <xsd:simpleType>
        <xsd:restriction base="dms:DateTime"/>
      </xsd:simpleType>
    </xsd:element>
    <xsd:element name="LastCommentInfoByFeed28" ma:index="78" nillable="true" ma:displayName="LastCommentInfoByFeed" ma:internalName="LastCommentInfoByFeed28">
      <xsd:simpleType>
        <xsd:restriction base="dms:Note">
          <xsd:maxLength value="255"/>
        </xsd:restriction>
      </xsd:simpleType>
    </xsd:element>
    <xsd:element name="LastModifiedByFeed29" ma:index="79" nillable="true" ma:displayName="LastModifiedByFeed" ma:internalName="LastModifiedByFeed29">
      <xsd:simpleType>
        <xsd:restriction base="dms:DateTime"/>
      </xsd:simpleType>
    </xsd:element>
    <xsd:element name="LastCommentInfoByFeed29" ma:index="80" nillable="true" ma:displayName="LastCommentInfoByFeed" ma:internalName="LastCommentInfoByFeed29">
      <xsd:simpleType>
        <xsd:restriction base="dms:Note">
          <xsd:maxLength value="255"/>
        </xsd:restriction>
      </xsd:simpleType>
    </xsd:element>
    <xsd:element name="LastModifiedByFeed30" ma:index="81" nillable="true" ma:displayName="LastModifiedByFeed" ma:internalName="LastModifiedByFeed30">
      <xsd:simpleType>
        <xsd:restriction base="dms:DateTime"/>
      </xsd:simpleType>
    </xsd:element>
    <xsd:element name="LastCommentInfoByFeed30" ma:index="82" nillable="true" ma:displayName="LastCommentInfoByFeed" ma:internalName="LastCommentInfoByFeed30">
      <xsd:simpleType>
        <xsd:restriction base="dms:Note">
          <xsd:maxLength value="255"/>
        </xsd:restriction>
      </xsd:simpleType>
    </xsd:element>
    <xsd:element name="LastModifiedByFeed31" ma:index="83" nillable="true" ma:displayName="LastModifiedByFeed" ma:internalName="LastModifiedByFeed31">
      <xsd:simpleType>
        <xsd:restriction base="dms:DateTime"/>
      </xsd:simpleType>
    </xsd:element>
    <xsd:element name="LastCommentInfoByFeed31" ma:index="84" nillable="true" ma:displayName="LastCommentInfoByFeed" ma:internalName="LastCommentInfoByFeed31">
      <xsd:simpleType>
        <xsd:restriction base="dms:Note">
          <xsd:maxLength value="255"/>
        </xsd:restriction>
      </xsd:simpleType>
    </xsd:element>
    <xsd:element name="LastModifiedByFeed32" ma:index="85" nillable="true" ma:displayName="LastModifiedByFeed" ma:internalName="LastModifiedByFeed32">
      <xsd:simpleType>
        <xsd:restriction base="dms:DateTime"/>
      </xsd:simpleType>
    </xsd:element>
    <xsd:element name="LastCommentInfoByFeed32" ma:index="86" nillable="true" ma:displayName="LastCommentInfoByFeed" ma:internalName="LastCommentInfoByFeed32">
      <xsd:simpleType>
        <xsd:restriction base="dms:Note">
          <xsd:maxLength value="255"/>
        </xsd:restriction>
      </xsd:simpleType>
    </xsd:element>
    <xsd:element name="LastModifiedByFeed33" ma:index="87" nillable="true" ma:displayName="LastModifiedByFeed" ma:internalName="LastModifiedByFeed33">
      <xsd:simpleType>
        <xsd:restriction base="dms:DateTime"/>
      </xsd:simpleType>
    </xsd:element>
    <xsd:element name="LastCommentInfoByFeed33" ma:index="88" nillable="true" ma:displayName="LastCommentInfoByFeed" ma:internalName="LastCommentInfoByFeed33">
      <xsd:simpleType>
        <xsd:restriction base="dms:Note">
          <xsd:maxLength value="255"/>
        </xsd:restriction>
      </xsd:simpleType>
    </xsd:element>
    <xsd:element name="LastModifiedByFeed34" ma:index="89" nillable="true" ma:displayName="LastModifiedByFeed" ma:internalName="LastModifiedByFeed34">
      <xsd:simpleType>
        <xsd:restriction base="dms:DateTime"/>
      </xsd:simpleType>
    </xsd:element>
    <xsd:element name="LastCommentInfoByFeed34" ma:index="90" nillable="true" ma:displayName="LastCommentInfoByFeed" ma:internalName="LastCommentInfoByFeed34">
      <xsd:simpleType>
        <xsd:restriction base="dms:Note">
          <xsd:maxLength value="255"/>
        </xsd:restriction>
      </xsd:simpleType>
    </xsd:element>
    <xsd:element name="LastModifiedByFeed35" ma:index="91" nillable="true" ma:displayName="LastModifiedByFeed" ma:internalName="LastModifiedByFeed35">
      <xsd:simpleType>
        <xsd:restriction base="dms:DateTime"/>
      </xsd:simpleType>
    </xsd:element>
    <xsd:element name="LastCommentInfoByFeed35" ma:index="92" nillable="true" ma:displayName="LastCommentInfoByFeed" ma:internalName="LastCommentInfoByFeed35">
      <xsd:simpleType>
        <xsd:restriction base="dms:Note">
          <xsd:maxLength value="255"/>
        </xsd:restriction>
      </xsd:simpleType>
    </xsd:element>
    <xsd:element name="LastModifiedByFeed36" ma:index="93" nillable="true" ma:displayName="LastModifiedByFeed" ma:internalName="LastModifiedByFeed36">
      <xsd:simpleType>
        <xsd:restriction base="dms:DateTime"/>
      </xsd:simpleType>
    </xsd:element>
    <xsd:element name="LastCommentInfoByFeed36" ma:index="94" nillable="true" ma:displayName="LastCommentInfoByFeed" ma:internalName="LastCommentInfoByFeed36">
      <xsd:simpleType>
        <xsd:restriction base="dms:Note">
          <xsd:maxLength value="255"/>
        </xsd:restriction>
      </xsd:simpleType>
    </xsd:element>
    <xsd:element name="LastModifiedByFeed37" ma:index="95" nillable="true" ma:displayName="LastModifiedByFeed" ma:internalName="LastModifiedByFeed37">
      <xsd:simpleType>
        <xsd:restriction base="dms:DateTime"/>
      </xsd:simpleType>
    </xsd:element>
    <xsd:element name="LastCommentInfoByFeed37" ma:index="96" nillable="true" ma:displayName="LastCommentInfoByFeed" ma:internalName="LastCommentInfoByFeed37">
      <xsd:simpleType>
        <xsd:restriction base="dms:Note">
          <xsd:maxLength value="255"/>
        </xsd:restriction>
      </xsd:simpleType>
    </xsd:element>
    <xsd:element name="LastModifiedByFeed38" ma:index="97" nillable="true" ma:displayName="LastModifiedByFeed" ma:internalName="LastModifiedByFeed38">
      <xsd:simpleType>
        <xsd:restriction base="dms:DateTime"/>
      </xsd:simpleType>
    </xsd:element>
    <xsd:element name="LastCommentInfoByFeed38" ma:index="98" nillable="true" ma:displayName="LastCommentInfoByFeed" ma:internalName="LastCommentInfoByFeed38">
      <xsd:simpleType>
        <xsd:restriction base="dms:Note">
          <xsd:maxLength value="255"/>
        </xsd:restriction>
      </xsd:simpleType>
    </xsd:element>
    <xsd:element name="LastModifiedByFeed39" ma:index="99" nillable="true" ma:displayName="LastModifiedByFeed" ma:internalName="LastModifiedByFeed39">
      <xsd:simpleType>
        <xsd:restriction base="dms:DateTime"/>
      </xsd:simpleType>
    </xsd:element>
    <xsd:element name="LastCommentInfoByFeed39" ma:index="100" nillable="true" ma:displayName="LastCommentInfoByFeed" ma:internalName="LastCommentInfoByFeed39">
      <xsd:simpleType>
        <xsd:restriction base="dms:Note">
          <xsd:maxLength value="255"/>
        </xsd:restriction>
      </xsd:simpleType>
    </xsd:element>
    <xsd:element name="LastModifiedByFeed40" ma:index="101" nillable="true" ma:displayName="LastModifiedByFeed" ma:internalName="LastModifiedByFeed40">
      <xsd:simpleType>
        <xsd:restriction base="dms:DateTime"/>
      </xsd:simpleType>
    </xsd:element>
    <xsd:element name="LastCommentInfoByFeed40" ma:index="102" nillable="true" ma:displayName="LastCommentInfoByFeed" ma:internalName="LastCommentInfoByFeed40">
      <xsd:simpleType>
        <xsd:restriction base="dms:Note">
          <xsd:maxLength value="255"/>
        </xsd:restriction>
      </xsd:simpleType>
    </xsd:element>
    <xsd:element name="LastModifiedByFeed41" ma:index="103" nillable="true" ma:displayName="LastModifiedByFeed" ma:internalName="LastModifiedByFeed41">
      <xsd:simpleType>
        <xsd:restriction base="dms:DateTime"/>
      </xsd:simpleType>
    </xsd:element>
    <xsd:element name="LastCommentInfoByFeed41" ma:index="104" nillable="true" ma:displayName="LastCommentInfoByFeed" ma:internalName="LastCommentInfoByFeed41">
      <xsd:simpleType>
        <xsd:restriction base="dms:Note">
          <xsd:maxLength value="255"/>
        </xsd:restriction>
      </xsd:simpleType>
    </xsd:element>
    <xsd:element name="LastModifiedByFeed42" ma:index="105" nillable="true" ma:displayName="LastModifiedByFeed" ma:internalName="LastModifiedByFeed42">
      <xsd:simpleType>
        <xsd:restriction base="dms:DateTime"/>
      </xsd:simpleType>
    </xsd:element>
    <xsd:element name="LastCommentInfoByFeed42" ma:index="106" nillable="true" ma:displayName="LastCommentInfoByFeed" ma:internalName="LastCommentInfoByFeed42">
      <xsd:simpleType>
        <xsd:restriction base="dms:Note">
          <xsd:maxLength value="255"/>
        </xsd:restriction>
      </xsd:simpleType>
    </xsd:element>
    <xsd:element name="LastModifiedByFeed43" ma:index="107" nillable="true" ma:displayName="LastModifiedByFeed" ma:internalName="LastModifiedByFeed43">
      <xsd:simpleType>
        <xsd:restriction base="dms:DateTime"/>
      </xsd:simpleType>
    </xsd:element>
    <xsd:element name="LastCommentInfoByFeed43" ma:index="108" nillable="true" ma:displayName="LastCommentInfoByFeed" ma:internalName="LastCommentInfoByFeed43">
      <xsd:simpleType>
        <xsd:restriction base="dms:Note">
          <xsd:maxLength value="255"/>
        </xsd:restriction>
      </xsd:simpleType>
    </xsd:element>
    <xsd:element name="LastModifiedByFeed44" ma:index="109" nillable="true" ma:displayName="LastModifiedByFeed" ma:internalName="LastModifiedByFeed44">
      <xsd:simpleType>
        <xsd:restriction base="dms:DateTime"/>
      </xsd:simpleType>
    </xsd:element>
    <xsd:element name="LastCommentInfoByFeed44" ma:index="110" nillable="true" ma:displayName="LastCommentInfoByFeed" ma:internalName="LastCommentInfoByFeed44">
      <xsd:simpleType>
        <xsd:restriction base="dms:Note">
          <xsd:maxLength value="255"/>
        </xsd:restriction>
      </xsd:simpleType>
    </xsd:element>
    <xsd:element name="LastModifiedByFeed45" ma:index="111" nillable="true" ma:displayName="LastModifiedByFeed" ma:internalName="LastModifiedByFeed45">
      <xsd:simpleType>
        <xsd:restriction base="dms:DateTime"/>
      </xsd:simpleType>
    </xsd:element>
    <xsd:element name="LastCommentInfoByFeed45" ma:index="112" nillable="true" ma:displayName="LastCommentInfoByFeed" ma:internalName="LastCommentInfoByFeed45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28B855-92AA-4CA4-9C57-15AD5B6EAC34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  <ds:schemaRef ds:uri="d1e37818-bb1e-4e97-b573-4fbb568a6289"/>
    <ds:schemaRef ds:uri="http://schemas.microsoft.com/sharepoint/v3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421DE4B-08DD-43E3-A959-F0C72BA8B3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A03882-F4A9-449C-A076-80172550C1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1e37818-bb1e-4e97-b573-4fbb568a62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1. 경제성장</vt:lpstr>
      <vt:lpstr>1.농림어업</vt:lpstr>
      <vt:lpstr>2. 수출</vt:lpstr>
      <vt:lpstr>2.수출 품목별</vt:lpstr>
      <vt:lpstr>2. 수출나라별</vt:lpstr>
      <vt:lpstr>3. 소비자심리지수</vt:lpstr>
      <vt:lpstr>3.소매판매액월별</vt:lpstr>
      <vt:lpstr>3. 소매판매액 증감률</vt:lpstr>
      <vt:lpstr>4. 물가지수</vt:lpstr>
      <vt:lpstr>5. 유가</vt:lpstr>
      <vt:lpstr>5. 농가판매 및 구입가격지수</vt:lpstr>
      <vt:lpstr>6. 고용</vt:lpstr>
      <vt:lpstr>6. 농업노임</vt:lpstr>
      <vt:lpstr>7. 세계식량자가격</vt:lpstr>
      <vt:lpstr>7. 수출입물가지수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안준영</dc:creator>
  <cp:lastModifiedBy>howard</cp:lastModifiedBy>
  <cp:lastPrinted>2023-12-19T08:33:28Z</cp:lastPrinted>
  <dcterms:created xsi:type="dcterms:W3CDTF">2020-06-08T00:46:58Z</dcterms:created>
  <dcterms:modified xsi:type="dcterms:W3CDTF">2026-10-28T06:34:36Z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0x010100F232DC283A0D4D749B6A46903F588C0D00F8EDACF26610F54EB6424C578D823394</vt:lpwstr>
  </property>
  <property fmtid="{D5CDD505-2E9C-101B-9397-08002B2CF9AE}" pid="3" name="Fasoo_Trace_ID">
    <vt:lpwstr>eyAibm9kZUNvdW50IjogMiwgIm5vZGUxIiA6IHsiZHNkIjoiMDEwMDAwMDAwMDAwMzQxMiIsImxvZ1RpbWUiOiIyMDI2LTA1LTA3VDA5OjE4OjM5WiIsInBJRCI6MSwicHJvY2Vzc0lkIjoyNTA4LCJwcm9jZXNzTmFtZSI6IkVYQ0VMLkVYRSIsInRyYWNlSWQiOiIwMkUzOUQ0MzA3MDE0RDMyQUVBMjFDRjUzNjYyM0Y0MyIsInVzZXJDb2R</vt:lpwstr>
  </property>
</Properties>
</file>